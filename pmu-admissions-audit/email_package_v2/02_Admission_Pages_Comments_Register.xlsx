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Previous requests" sheetId="4" state="visible" r:id="rId4"/>
  </sheets>
  <definedNames>
    <definedName name="_xlnm._FilterDatabase" localSheetId="1" hidden="1">'Comments'!$A$4:$J$65</definedName>
    <definedName name="_xlnm.Print_Titles" localSheetId="1">'Comments'!$4:$4</definedName>
    <definedName name="_xlnm._FilterDatabase" localSheetId="2" hidden="1">'Decisions'!$A$4:$E$14</definedName>
    <definedName name="_xlnm.Print_Titles" localSheetId="2">'Decisions'!$4:$4</definedName>
    <definedName name="_xlnm._FilterDatabase" localSheetId="3" hidden="1">'Previous requests'!$A$4:$C$12</definedName>
    <definedName name="_xlnm.Print_Titles" localSheetId="3">'Previous requests'!$4:$4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1"/>
    </font>
    <font>
      <name val="Calibri"/>
      <color rgb="00595959"/>
      <sz val="9"/>
    </font>
    <font>
      <name val="Calibri"/>
      <b val="1"/>
      <color rgb="001F3864"/>
      <sz val="12"/>
    </font>
    <font>
      <name val="Calibri"/>
      <b val="1"/>
      <color rgb="00FFFFFF"/>
    </font>
    <font>
      <name val="Calibri"/>
    </font>
    <font>
      <name val="Calibri"/>
      <b val="1"/>
    </font>
    <font>
      <name val="Calibri"/>
      <b val="1"/>
      <color rgb="00C00000"/>
      <sz val="12"/>
    </font>
    <font>
      <name val="Calibri"/>
      <sz val="10"/>
    </font>
    <font>
      <name val="Calibri"/>
      <b val="1"/>
      <color rgb="009C0006"/>
    </font>
    <font>
      <name val="Calibri"/>
      <b val="1"/>
      <color rgb="007F4F00"/>
    </font>
    <font>
      <name val="Calibri"/>
      <b val="1"/>
      <color rgb="001E4620"/>
    </font>
    <font>
      <name val="Calibri"/>
      <i val="1"/>
      <color rgb="00595959"/>
      <sz val="9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2F855A"/>
      <sz val="10"/>
    </font>
    <font>
      <name val="Calibri"/>
      <b val="1"/>
      <color rgb="00C00000"/>
      <sz val="10"/>
    </font>
    <font>
      <name val="Calibri"/>
      <b val="1"/>
      <color rgb="00B7791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86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2" pivotButton="0" quotePrefix="0" xfId="0"/>
    <xf numFmtId="0" fontId="1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3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7F4F00"/>
      </font>
      <fill>
        <patternFill patternType="solid">
          <fgColor rgb="00FFEB9C"/>
        </patternFill>
      </fill>
    </dxf>
    <dxf>
      <font>
        <b val="1"/>
        <color rgb="001E462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2">
      <c r="B2" s="1" t="inlineStr">
        <is>
          <t>Admission Pages Comments Register</t>
        </is>
      </c>
    </row>
    <row r="3">
      <c r="B3" s="2" t="inlineStr">
        <is>
          <t>Revisit of the Admissions Office webpages – published content as of 10 October 2026</t>
        </is>
      </c>
    </row>
    <row r="4">
      <c r="B4" s="3" t="inlineStr">
        <is>
          <t>Reference: thread "comments on Admission pages"  |  Prepared by: Nader Alfarhan, Student Affairs  |  Read-only review</t>
        </is>
      </c>
    </row>
    <row r="6">
      <c r="B6" s="4" t="inlineStr">
        <is>
          <t>Comments by priority</t>
        </is>
      </c>
    </row>
    <row r="7">
      <c r="B7" s="5" t="inlineStr">
        <is>
          <t>Scope</t>
        </is>
      </c>
      <c r="C7" s="5" t="inlineStr">
        <is>
          <t>P1</t>
        </is>
      </c>
      <c r="D7" s="5" t="inlineStr">
        <is>
          <t>P2</t>
        </is>
      </c>
      <c r="E7" s="5" t="inlineStr">
        <is>
          <t>P3</t>
        </is>
      </c>
      <c r="F7" s="5" t="inlineStr">
        <is>
          <t>Total</t>
        </is>
      </c>
    </row>
    <row r="8">
      <c r="B8" s="6" t="inlineStr">
        <is>
          <t>Pages linked from the Admissions page</t>
        </is>
      </c>
      <c r="C8" s="7" t="n">
        <v>6</v>
      </c>
      <c r="D8" s="7" t="n">
        <v>29</v>
      </c>
      <c r="E8" s="7" t="n">
        <v>16</v>
      </c>
      <c r="F8" s="8">
        <f>SUM(C8:E8)</f>
        <v/>
      </c>
    </row>
    <row r="9">
      <c r="B9" s="6" t="inlineStr">
        <is>
          <t>Legacy pages (not linked from the hub)</t>
        </is>
      </c>
      <c r="C9" s="7" t="n">
        <v>2</v>
      </c>
      <c r="D9" s="7" t="n">
        <v>5</v>
      </c>
      <c r="E9" s="7" t="n">
        <v>3</v>
      </c>
      <c r="F9" s="8">
        <f>SUM(C9:E9)</f>
        <v/>
      </c>
    </row>
    <row r="10">
      <c r="B10" s="9" t="inlineStr">
        <is>
          <t>Total</t>
        </is>
      </c>
      <c r="C10" s="10">
        <f>SUM(C8:C9)</f>
        <v/>
      </c>
      <c r="D10" s="10">
        <f>SUM(D8:D9)</f>
        <v/>
      </c>
      <c r="E10" s="10">
        <f>SUM(E8:E9)</f>
        <v/>
      </c>
      <c r="F10" s="10">
        <f>SUM(F8:F9)</f>
        <v/>
      </c>
    </row>
    <row r="12">
      <c r="B12" s="4" t="inlineStr">
        <is>
          <t>Overall status</t>
        </is>
      </c>
    </row>
    <row r="13">
      <c r="B13" s="11" t="inlineStr">
        <is>
          <t>NOT READY FOR CLOSURE</t>
        </is>
      </c>
    </row>
    <row r="14">
      <c r="B14" s="12" t="inlineStr">
        <is>
          <t>Ten items require a documented decision by the policy / fee owner before wording can be corrected.</t>
        </is>
      </c>
    </row>
    <row r="16">
      <c r="B16" s="4" t="inlineStr">
        <is>
          <t>Priority legend</t>
        </is>
      </c>
    </row>
    <row r="17">
      <c r="B17" s="13" t="inlineStr">
        <is>
          <t>P1</t>
        </is>
      </c>
      <c r="C17" s="12" t="inlineStr">
        <is>
          <t>High – affects eligibility, fees or the application route</t>
        </is>
      </c>
    </row>
    <row r="18">
      <c r="B18" s="14" t="inlineStr">
        <is>
          <t>P2</t>
        </is>
      </c>
      <c r="C18" s="12" t="inlineStr">
        <is>
          <t>Medium – inconsistency or missing information</t>
        </is>
      </c>
    </row>
    <row r="19">
      <c r="B19" s="15" t="inlineStr">
        <is>
          <t>P3</t>
        </is>
      </c>
      <c r="C19" s="12" t="inlineStr">
        <is>
          <t>Low – wording, accessibility or housekeeping</t>
        </is>
      </c>
    </row>
    <row r="21">
      <c r="B21" s="4" t="inlineStr">
        <is>
          <t>Sheets</t>
        </is>
      </c>
    </row>
    <row r="22">
      <c r="B22" s="12" t="inlineStr">
        <is>
          <t>•  Comments – page-by-page comments with verbatim evidence and proposed change</t>
        </is>
      </c>
    </row>
    <row r="23">
      <c r="B23" s="12" t="inlineStr">
        <is>
          <t>•  Decisions – items requiring an owner decision</t>
        </is>
      </c>
    </row>
    <row r="24">
      <c r="B24" s="12" t="inlineStr">
        <is>
          <t>•  Previous requests – live status of amendments requested in the thread</t>
        </is>
      </c>
    </row>
    <row r="26">
      <c r="B26" s="16" t="inlineStr">
        <is>
          <t>Limits: desktop view not tested; pop-up content and PDF files not fully reviewed; read-only (no page was changed).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30" customWidth="1" min="4" max="4"/>
    <col width="20" customWidth="1" min="5" max="5"/>
    <col width="50" customWidth="1" min="6" max="6"/>
    <col width="50" customWidth="1" min="7" max="7"/>
    <col width="38" customWidth="1" min="8" max="8"/>
    <col width="24" customWidth="1" min="9" max="9"/>
    <col width="18" customWidth="1" min="10" max="10"/>
  </cols>
  <sheetData>
    <row r="1" ht="26" customHeight="1">
      <c r="A1" s="17" t="inlineStr">
        <is>
          <t>Page-by-page comments</t>
        </is>
      </c>
    </row>
    <row r="2">
      <c r="A2" s="18" t="inlineStr">
        <is>
          <t>Published content as of 10 October 2026 – evidence quoted verbatim from the live pages</t>
        </is>
      </c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30" customHeight="1">
      <c r="A4" s="20" t="inlineStr">
        <is>
          <t>#</t>
        </is>
      </c>
      <c r="B4" s="20" t="inlineStr">
        <is>
          <t>Ref</t>
        </is>
      </c>
      <c r="C4" s="20" t="inlineStr">
        <is>
          <t>Priority</t>
        </is>
      </c>
      <c r="D4" s="20" t="inlineStr">
        <is>
          <t>Page(s)</t>
        </is>
      </c>
      <c r="E4" s="20" t="inlineStr">
        <is>
          <t>Scope</t>
        </is>
      </c>
      <c r="F4" s="20" t="inlineStr">
        <is>
          <t>Comment (what the published page shows)</t>
        </is>
      </c>
      <c r="G4" s="20" t="inlineStr">
        <is>
          <t>Evidence (verbatim, as published 10 Oct 2026)</t>
        </is>
      </c>
      <c r="H4" s="20" t="inlineStr">
        <is>
          <t>Proposed change</t>
        </is>
      </c>
      <c r="I4" s="20" t="inlineStr">
        <is>
          <t>Decision owner (proposed)</t>
        </is>
      </c>
      <c r="J4" s="20" t="inlineStr">
        <is>
          <t>Status</t>
        </is>
      </c>
    </row>
    <row r="5">
      <c r="A5" s="21" t="n">
        <v>1</v>
      </c>
      <c r="B5" s="21" t="inlineStr">
        <is>
          <t>F-01</t>
        </is>
      </c>
      <c r="C5" s="21" t="inlineStr">
        <is>
          <t>P1</t>
        </is>
      </c>
      <c r="D5" s="22" t="inlineStr">
        <is>
          <t>international_students ↔ admissions_requirements_cs_eng_majors</t>
        </is>
      </c>
      <c r="E5" s="22" t="inlineStr">
        <is>
          <t>Linked from Admissions page</t>
        </is>
      </c>
      <c r="F5" s="22" t="inlineStr">
        <is>
          <t>International CS/Engineering criteria still require SAT II (SAT Subject Tests were discontinued by College Board in 2021).</t>
        </is>
      </c>
      <c r="G5" s="22" t="inlineStr">
        <is>
          <t>Intl: "Computer Science &amp; Engineering Majors: Secondary School 40% / SAT I 30% / SAT II 30%" vs local "HS GPA ≥85 40% / Qudrat ≥65 30% / Tahseely ≥65 30%"; College Board ended Subject Tests (Jan 2021)</t>
        </is>
      </c>
      <c r="H5" s="22" t="inlineStr">
        <is>
          <t>Replace with the approved alternative (e.g., SAT I / Tahseely equivalent) and remove SAT II.</t>
        </is>
      </c>
      <c r="I5" s="22" t="inlineStr">
        <is>
          <t>Admissions + Colleges</t>
        </is>
      </c>
      <c r="J5" s="22" t="inlineStr">
        <is>
          <t>Open – awaiting owner decision</t>
        </is>
      </c>
    </row>
    <row r="6">
      <c r="A6" s="23" t="n">
        <v>2</v>
      </c>
      <c r="B6" s="23" t="inlineStr">
        <is>
          <t>F-02</t>
        </is>
      </c>
      <c r="C6" s="23" t="inlineStr">
        <is>
          <t>P1</t>
        </is>
      </c>
      <c r="D6" s="24" t="inlineStr">
        <is>
          <t>international_students ↔ admission-from-other-universities, visiting-student-admission</t>
        </is>
      </c>
      <c r="E6" s="24" t="inlineStr">
        <is>
          <t>Linked from Admissions page</t>
        </is>
      </c>
      <c r="F6" s="24" t="inlineStr">
        <is>
          <t>International transfer/visiting application fee shows SAR 500 (excl. VAT), while transfer and visiting pages show SAR 950 (incl. VAT).</t>
        </is>
      </c>
      <c r="G6" s="24" t="inlineStr">
        <is>
          <t>Intl: "SAR 500 (excl. VAT)"; local: "SAR 950 (incl. VAT)"</t>
        </is>
      </c>
      <c r="H6" s="24" t="inlineStr">
        <is>
          <t>Publish one approved fee and VAT treatment per applicant type.</t>
        </is>
      </c>
      <c r="I6" s="24" t="inlineStr">
        <is>
          <t>Finance + Admissions</t>
        </is>
      </c>
      <c r="J6" s="24" t="inlineStr">
        <is>
          <t>Open – awaiting owner decision</t>
        </is>
      </c>
    </row>
    <row r="7">
      <c r="A7" s="21" t="n">
        <v>3</v>
      </c>
      <c r="B7" s="21" t="inlineStr">
        <is>
          <t>F-03</t>
        </is>
      </c>
      <c r="C7" s="21" t="inlineStr">
        <is>
          <t>P1</t>
        </is>
      </c>
      <c r="D7" s="22" t="inlineStr">
        <is>
          <t>college_of_medicine_admission (+ medical_program_studies_fees_tf_ro)</t>
        </is>
      </c>
      <c r="E7" s="22" t="inlineStr">
        <is>
          <t>Linked from Admissions page</t>
        </is>
      </c>
      <c r="F7" s="22" t="inlineStr">
        <is>
          <t>Medicine application fee: SAR 1,000 (incl. VAT) on the admission page vs SAR 1,150 (VAT inclusive) on the medical fees page.</t>
        </is>
      </c>
      <c r="G7" s="22" t="inlineStr">
        <is>
          <t>Medicine: "SAR 1000 (incl. VAT)"; fees page: "Medical Application Fee SAR 1,150 (VAT inclusive)"; 1000×1.15=1150</t>
        </is>
      </c>
      <c r="H7" s="22" t="inlineStr">
        <is>
          <t>Confirm the approved amount and align both pages.</t>
        </is>
      </c>
      <c r="I7" s="22" t="inlineStr">
        <is>
          <t>Finance + College of Medicine</t>
        </is>
      </c>
      <c r="J7" s="22" t="inlineStr">
        <is>
          <t>Open – awaiting owner decision</t>
        </is>
      </c>
    </row>
    <row r="8">
      <c r="A8" s="23" t="n">
        <v>4</v>
      </c>
      <c r="B8" s="23" t="inlineStr">
        <is>
          <t>F-04</t>
        </is>
      </c>
      <c r="C8" s="23" t="inlineStr">
        <is>
          <t>P1</t>
        </is>
      </c>
      <c r="D8" s="24" t="inlineStr">
        <is>
          <t>admission_calendar_fs_ro</t>
        </is>
      </c>
      <c r="E8" s="24" t="inlineStr">
        <is>
          <t>Linked from Admissions page</t>
        </is>
      </c>
      <c r="F8" s="24" t="inlineStr">
        <is>
          <t>Admission calendar is for Fall 2026 only; all dates have passed and results are announced before some submission deadlines close.</t>
        </is>
      </c>
      <c r="G8" s="24" t="inlineStr">
        <is>
          <t>"From July 19 to July 21, 2026" vs "Last day to submit IELTS or TOEFL iBT 2026-07-20"; all dates ≤ 2026-08-30; today 2026-10-10</t>
        </is>
      </c>
      <c r="H8" s="24" t="inlineStr">
        <is>
          <t>Publish the next intake (or 'Admissions closed – next intake opens on …') and fix date order.</t>
        </is>
      </c>
      <c r="I8" s="24" t="inlineStr">
        <is>
          <t>Admissions</t>
        </is>
      </c>
      <c r="J8" s="24" t="inlineStr">
        <is>
          <t>Open – awaiting owner decision</t>
        </is>
      </c>
    </row>
    <row r="9">
      <c r="A9" s="21" t="n">
        <v>5</v>
      </c>
      <c r="B9" s="21" t="inlineStr">
        <is>
          <t>F-16</t>
        </is>
      </c>
      <c r="C9" s="21" t="inlineStr">
        <is>
          <t>P1</t>
        </is>
      </c>
      <c r="D9" s="22" t="inlineStr">
        <is>
          <t>admissions_requirements_emgms_gdp</t>
        </is>
      </c>
      <c r="E9" s="22" t="inlineStr">
        <is>
          <t>Linked from Admissions page</t>
        </is>
      </c>
      <c r="F9" s="22" t="inlineStr">
        <is>
          <t>EMGMS page contains another university's text ('UA Center for English as Second Language (CESL)').</t>
        </is>
      </c>
      <c r="G9" s="22" t="inlineStr">
        <is>
          <t>"Graduate English Language Endorsement from UA Center for English as Second Language (CESL)"; "IELTS – minimum composite score of 7, with no subject area below a 6"; "TOEFL – minimum of 79 iBT"</t>
        </is>
      </c>
      <c r="H9" s="22" t="inlineStr">
        <is>
          <t>Remove immediately and replace with PMU-approved EMGMS requirements.</t>
        </is>
      </c>
      <c r="I9" s="22" t="inlineStr">
        <is>
          <t>Graduate Studies + College of Engineering</t>
        </is>
      </c>
      <c r="J9" s="22" t="inlineStr">
        <is>
          <t>Open – awaiting owner decision</t>
        </is>
      </c>
    </row>
    <row r="10">
      <c r="A10" s="23" t="n">
        <v>6</v>
      </c>
      <c r="B10" s="23" t="inlineStr">
        <is>
          <t>F-48</t>
        </is>
      </c>
      <c r="C10" s="23" t="inlineStr">
        <is>
          <t>P1</t>
        </is>
      </c>
      <c r="D10" s="24" t="inlineStr">
        <is>
          <t>international_students ↔ admission_calendar_fs_ro</t>
        </is>
      </c>
      <c r="E10" s="24" t="inlineStr">
        <is>
          <t>Linked from Admissions page</t>
        </is>
      </c>
      <c r="F10" s="24" t="inlineStr">
        <is>
          <t>Non-Saudi applicants: calendar shows the Study in Saudi route as 'Closed' with no date, and the international page does not state the application route or deadline.</t>
        </is>
      </c>
      <c r="G10" s="24" t="inlineStr">
        <is>
          <t>Calendar: "For non Saudi students: Apply online through Study in Saudi platform: https://studyinsaudi.sa/ar  Closed" (no date); international page: "application process can be completed entirely online" (no route or deadline stated)</t>
        </is>
      </c>
      <c r="H10" s="24" t="inlineStr">
        <is>
          <t>Publish the route and deadline for non-Saudi applicants on both pages.</t>
        </is>
      </c>
      <c r="I10" s="24" t="inlineStr">
        <is>
          <t>Admissions</t>
        </is>
      </c>
      <c r="J10" s="24" t="inlineStr">
        <is>
          <t>Open – awaiting owner decision</t>
        </is>
      </c>
    </row>
    <row r="11">
      <c r="A11" s="21" t="n">
        <v>7</v>
      </c>
      <c r="B11" s="21" t="inlineStr">
        <is>
          <t>F-06</t>
        </is>
      </c>
      <c r="C11" s="21" t="inlineStr">
        <is>
          <t>P2</t>
        </is>
      </c>
      <c r="D11" s="22" t="inlineStr">
        <is>
          <t>college_of_medicine_admission</t>
        </is>
      </c>
      <c r="E11" s="22" t="inlineStr">
        <is>
          <t>Linked from Admissions page</t>
        </is>
      </c>
      <c r="F11" s="22" t="inlineStr">
        <is>
          <t>Medicine: the published minimum components cannot reach the stated minimum total (0.2×95 + 0.4×80 + 0.4×80 = 83 &lt; 86).</t>
        </is>
      </c>
      <c r="G11" s="22" t="inlineStr">
        <is>
          <t>"(95%)","(80)","(80)" with "20% high school + 40% Qudrat + 40% Tahseely … 86 is the minimum": 0.2×95+0.4×80+0.4×80=83</t>
        </is>
      </c>
      <c r="H11" s="22" t="inlineStr">
        <is>
          <t>Clarify the minimums and formula.</t>
        </is>
      </c>
      <c r="I11" s="22" t="inlineStr">
        <is>
          <t>College of Medicine + Admissions</t>
        </is>
      </c>
      <c r="J11" s="22" t="inlineStr">
        <is>
          <t>Open – awaiting owner decision</t>
        </is>
      </c>
    </row>
    <row r="12">
      <c r="A12" s="23" t="n">
        <v>8</v>
      </c>
      <c r="B12" s="23" t="inlineStr">
        <is>
          <t>F-07</t>
        </is>
      </c>
      <c r="C12" s="23" t="inlineStr">
        <is>
          <t>P2</t>
        </is>
      </c>
      <c r="D12" s="24" t="inlineStr">
        <is>
          <t>undergraduate_programs_admission, admissions_requirements_cs_eng_majors</t>
        </is>
      </c>
      <c r="E12" s="24" t="inlineStr">
        <is>
          <t>Linked from Admissions page</t>
        </is>
      </c>
      <c r="F12" s="24" t="inlineStr">
        <is>
          <t>The minimum weighted total for admission is referred to but not published.</t>
        </is>
      </c>
      <c r="G12" s="24" t="inlineStr">
        <is>
          <t>"the minimum weighted total, defined by the Admissions Office, should be met"</t>
        </is>
      </c>
      <c r="H12" s="24" t="inlineStr">
        <is>
          <t>Decide whether to publish the minimum weighted total.</t>
        </is>
      </c>
      <c r="I12" s="24" t="inlineStr">
        <is>
          <t>Admissions policy owner</t>
        </is>
      </c>
      <c r="J12" s="24" t="inlineStr">
        <is>
          <t>Open – awaiting owner decision</t>
        </is>
      </c>
    </row>
    <row r="13">
      <c r="A13" s="21" t="n">
        <v>9</v>
      </c>
      <c r="B13" s="21" t="inlineStr">
        <is>
          <t>F-08</t>
        </is>
      </c>
      <c r="C13" s="21" t="inlineStr">
        <is>
          <t>P2</t>
        </is>
      </c>
      <c r="D13" s="22" t="inlineStr">
        <is>
          <t>toefl-admission, ielts-admission</t>
        </is>
      </c>
      <c r="E13" s="22" t="inlineStr">
        <is>
          <t>Linked from Admissions page</t>
        </is>
      </c>
      <c r="F13" s="22" t="inlineStr">
        <is>
          <t>TOEFL requirements are shown only on the 0–120 scale; ETS introduced the 1–6 reporting scale on 21 Jan 2026.</t>
        </is>
      </c>
      <c r="G13" s="22" t="inlineStr">
        <is>
          <t>Core 83/19; ETS moved to 1–6 scale on 21 Jan 2026 (secondary source)</t>
        </is>
      </c>
      <c r="H13" s="22" t="inlineStr">
        <is>
          <t>Publish an approved equivalence table including the new scale.</t>
        </is>
      </c>
      <c r="I13" s="22" t="inlineStr">
        <is>
          <t>Admissions + Testing Center</t>
        </is>
      </c>
      <c r="J13" s="22" t="inlineStr">
        <is>
          <t>Open – awaiting owner decision</t>
        </is>
      </c>
    </row>
    <row r="14">
      <c r="A14" s="23" t="n">
        <v>10</v>
      </c>
      <c r="B14" s="23" t="inlineStr">
        <is>
          <t>F-10</t>
        </is>
      </c>
      <c r="C14" s="23" t="inlineStr">
        <is>
          <t>P2</t>
        </is>
      </c>
      <c r="D14" s="24" t="inlineStr">
        <is>
          <t>direct-admissions…, admission-from-other-universities, cs_eng vs graduate pages</t>
        </is>
      </c>
      <c r="E14" s="24" t="inlineStr">
        <is>
          <t>Linked from Admissions page</t>
        </is>
      </c>
      <c r="F14" s="24" t="inlineStr">
        <is>
          <t>Undergraduate pages say 'equivalent TOEFL iBT' without a score, while graduate pages state 83/19.</t>
        </is>
      </c>
      <c r="G14" s="24" t="inlineStr">
        <is>
          <t>"or equivalent TOEFL iBT (Learn more)" / "with acceptable scores" vs graduate "83 overall and 19 in each skill"</t>
        </is>
      </c>
      <c r="H14" s="24" t="inlineStr">
        <is>
          <t>Publish one equivalence table and link it.</t>
        </is>
      </c>
      <c r="I14" s="24" t="inlineStr">
        <is>
          <t>Admissions + Testing Center</t>
        </is>
      </c>
      <c r="J14" s="24" t="inlineStr">
        <is>
          <t>Open – awaiting owner decision</t>
        </is>
      </c>
    </row>
    <row r="15">
      <c r="A15" s="21" t="n">
        <v>11</v>
      </c>
      <c r="B15" s="21" t="inlineStr">
        <is>
          <t>F-11</t>
        </is>
      </c>
      <c r="C15" s="21" t="inlineStr">
        <is>
          <t>P2</t>
        </is>
      </c>
      <c r="D15" s="22" t="inlineStr">
        <is>
          <t>admission (menu) ↔ admission_graduate_degree_programs ↔ degrees_programs_fs_ro</t>
        </is>
      </c>
      <c r="E15" s="22" t="inlineStr">
        <is>
          <t>Linked from Admissions page</t>
        </is>
      </c>
      <c r="F15" s="22" t="inlineStr">
        <is>
          <t>Graduate program lists differ between the hub menu, the graduate page and Degrees &amp; Programs (MSHD vs MSEHD naming).</t>
        </is>
      </c>
      <c r="G15" s="22" t="inlineStr">
        <is>
          <t>Menu lists EMGMS &amp; MIBL; graduate home omits EMGMS; Degrees list omits EMGMS; labels "MSHD"/"MSEHD"/"Master of Human Development"</t>
        </is>
      </c>
      <c r="H15" s="22" t="inlineStr">
        <is>
          <t>Maintain one graduate program catalogue.</t>
        </is>
      </c>
      <c r="I15" s="22" t="inlineStr">
        <is>
          <t>Graduate Studies + Web</t>
        </is>
      </c>
      <c r="J15" s="22" t="inlineStr">
        <is>
          <t>Open – awaiting owner decision</t>
        </is>
      </c>
    </row>
    <row r="16">
      <c r="A16" s="23" t="n">
        <v>12</v>
      </c>
      <c r="B16" s="23" t="inlineStr">
        <is>
          <t>F-13</t>
        </is>
      </c>
      <c r="C16" s="23" t="inlineStr">
        <is>
          <t>P2</t>
        </is>
      </c>
      <c r="D16" s="24" t="inlineStr">
        <is>
          <t>aptis-placement-test (+ student_fees_tf_ro)</t>
        </is>
      </c>
      <c r="E16" s="24" t="inlineStr">
        <is>
          <t>Linked from Admissions page</t>
        </is>
      </c>
      <c r="F16" s="24" t="inlineStr">
        <is>
          <t>The Aptis page does not state the test fee; the fees page shows SAR 575.</t>
        </is>
      </c>
      <c r="G16" s="24" t="inlineStr">
        <is>
          <t>Aptis page: "they will be scheduled to take Aptis test"; fees page: "APTIS Exam Fees SAR 575"</t>
        </is>
      </c>
      <c r="H16" s="24" t="inlineStr">
        <is>
          <t>Show the approved Aptis fee on the Aptis page.</t>
        </is>
      </c>
      <c r="I16" s="24" t="inlineStr">
        <is>
          <t>PREP + Finance</t>
        </is>
      </c>
      <c r="J16" s="24" t="inlineStr">
        <is>
          <t>Open – awaiting owner decision</t>
        </is>
      </c>
    </row>
    <row r="17">
      <c r="A17" s="21" t="n">
        <v>13</v>
      </c>
      <c r="B17" s="21" t="inlineStr">
        <is>
          <t>F-18</t>
        </is>
      </c>
      <c r="C17" s="21" t="inlineStr">
        <is>
          <t>P2</t>
        </is>
      </c>
      <c r="D17" s="22" t="inlineStr">
        <is>
          <t>all 39 scope items</t>
        </is>
      </c>
      <c r="E17" s="22" t="inlineStr">
        <is>
          <t>Linked from Admissions page</t>
        </is>
      </c>
      <c r="F17" s="22" t="inlineStr">
        <is>
          <t>Pages have an empty html 'lang' attribute (accessibility / screen readers).</t>
        </is>
      </c>
      <c r="G17" s="22" t="inlineStr">
        <is>
          <t>document.documentElement.lang === "" on every www.pmu.edu.sa page probed (WCAG 3.1.1)</t>
        </is>
      </c>
      <c r="H17" s="22" t="inlineStr">
        <is>
          <t>Set lang='en' / 'ar' appropriately.</t>
        </is>
      </c>
      <c r="I17" s="22" t="inlineStr">
        <is>
          <t>Web / IT</t>
        </is>
      </c>
      <c r="J17" s="22" t="inlineStr">
        <is>
          <t>Open – awaiting owner decision</t>
        </is>
      </c>
    </row>
    <row r="18">
      <c r="A18" s="23" t="n">
        <v>14</v>
      </c>
      <c r="B18" s="23" t="inlineStr">
        <is>
          <t>F-19</t>
        </is>
      </c>
      <c r="C18" s="23" t="inlineStr">
        <is>
          <t>P2</t>
        </is>
      </c>
      <c r="D18" s="24" t="inlineStr">
        <is>
          <t>all (main page: 4 of 6 images)</t>
        </is>
      </c>
      <c r="E18" s="24" t="inlineStr">
        <is>
          <t>Linked from Admissions page</t>
        </is>
      </c>
      <c r="F18" s="24" t="inlineStr">
        <is>
          <t>Images without alternative text (main page: 4 of 6).</t>
        </is>
      </c>
      <c r="G18" s="24" t="inlineStr">
        <is>
          <t>main page images logo-name.png ×2, logo-PMU-1.png, logo_new_r.png have no alt attribute (WCAG 1.1.1)</t>
        </is>
      </c>
      <c r="H18" s="24" t="inlineStr">
        <is>
          <t>Add alt text.</t>
        </is>
      </c>
      <c r="I18" s="24" t="inlineStr">
        <is>
          <t>Web / IT</t>
        </is>
      </c>
      <c r="J18" s="24" t="inlineStr">
        <is>
          <t>Open – awaiting owner decision</t>
        </is>
      </c>
    </row>
    <row r="19">
      <c r="A19" s="21" t="n">
        <v>15</v>
      </c>
      <c r="B19" s="21" t="inlineStr">
        <is>
          <t>F-22</t>
        </is>
      </c>
      <c r="C19" s="21" t="inlineStr">
        <is>
          <t>P2</t>
        </is>
      </c>
      <c r="D19" s="22" t="inlineStr">
        <is>
          <t>apply → admissions.pmu.edu.sa/welcome ↔ admission_calendar_fs_ro</t>
        </is>
      </c>
      <c r="E19" s="22" t="inlineStr">
        <is>
          <t>Linked from Admissions page</t>
        </is>
      </c>
      <c r="F19" s="22" t="inlineStr">
        <is>
          <t>Two conflicting calendars: the application portal shows 'No events are currently published' while the admission calendar shows Fall 2026 dates.</t>
        </is>
      </c>
      <c r="G19" s="22" t="inlineStr">
        <is>
          <t>Portal: "No events are currently published. Please check back later."; site publishes dates; footer "2022 ©"</t>
        </is>
      </c>
      <c r="H19" s="22" t="inlineStr">
        <is>
          <t>Use one calendar source.</t>
        </is>
      </c>
      <c r="I19" s="22" t="inlineStr">
        <is>
          <t>Admissions + IT</t>
        </is>
      </c>
      <c r="J19" s="22" t="inlineStr">
        <is>
          <t>Open – awaiting owner decision</t>
        </is>
      </c>
    </row>
    <row r="20">
      <c r="A20" s="23" t="n">
        <v>16</v>
      </c>
      <c r="B20" s="23" t="inlineStr">
        <is>
          <t>F-23</t>
        </is>
      </c>
      <c r="C20" s="23" t="inlineStr">
        <is>
          <t>P2</t>
        </is>
      </c>
      <c r="D20" s="24" t="inlineStr">
        <is>
          <t>apply</t>
        </is>
      </c>
      <c r="E20" s="24" t="inlineStr">
        <is>
          <t>Linked from Admissions page</t>
        </is>
      </c>
      <c r="F20" s="24" t="inlineStr">
        <is>
          <t>Bilingual requirements content on /apply is never seen: the page redirects immediately to the portal.</t>
        </is>
      </c>
      <c r="G20" s="24" t="inlineStr">
        <is>
          <t>Static HTML of /apply has AR/EN IELTS/TOEFL text; browser lands on admissions.pmu.edu.sa/welcome with no requirements</t>
        </is>
      </c>
      <c r="H20" s="24" t="inlineStr">
        <is>
          <t>Publish requirements on a visible page.</t>
        </is>
      </c>
      <c r="I20" s="24" t="inlineStr">
        <is>
          <t>Admissions + Web</t>
        </is>
      </c>
      <c r="J20" s="24" t="inlineStr">
        <is>
          <t>Open – awaiting owner decision</t>
        </is>
      </c>
    </row>
    <row r="21">
      <c r="A21" s="21" t="n">
        <v>17</v>
      </c>
      <c r="B21" s="21" t="inlineStr">
        <is>
          <t>F-25</t>
        </is>
      </c>
      <c r="C21" s="21" t="inlineStr">
        <is>
          <t>P2</t>
        </is>
      </c>
      <c r="D21" s="22" t="inlineStr">
        <is>
          <t>degrees_programs_fs_ro ↔ college_of_medicine_admission, emgms</t>
        </is>
      </c>
      <c r="E21" s="22" t="inlineStr">
        <is>
          <t>Linked from Admissions page</t>
        </is>
      </c>
      <c r="F21" s="22" t="inlineStr">
        <is>
          <t>Degrees &amp; Programs does not list Medicine or EMGMS, although both have admission pages.</t>
        </is>
      </c>
      <c r="G21" s="22" t="inlineStr">
        <is>
          <t>Rendered Degrees &amp; Programs (10 tables) lacks Medicine &amp; EMGMS; both have admission pages</t>
        </is>
      </c>
      <c r="H21" s="22" t="inlineStr">
        <is>
          <t>Update the programme catalogue.</t>
        </is>
      </c>
      <c r="I21" s="22" t="inlineStr">
        <is>
          <t>Admissions + Academic Affairs</t>
        </is>
      </c>
      <c r="J21" s="22" t="inlineStr">
        <is>
          <t>Open – awaiting owner decision</t>
        </is>
      </c>
    </row>
    <row r="22">
      <c r="A22" s="23" t="n">
        <v>18</v>
      </c>
      <c r="B22" s="23" t="inlineStr">
        <is>
          <t>F-29</t>
        </is>
      </c>
      <c r="C22" s="23" t="inlineStr">
        <is>
          <t>P2</t>
        </is>
      </c>
      <c r="D22" s="24" t="inlineStr">
        <is>
          <t>admissions_requirements_milbl_gdp vs 21 graduate pages</t>
        </is>
      </c>
      <c r="E22" s="24" t="inlineStr">
        <is>
          <t>Linked from Admissions page</t>
        </is>
      </c>
      <c r="F22" s="24" t="inlineStr">
        <is>
          <t>MIBL requires IELTS 6.5, while other graduate pages require 6.0.</t>
        </is>
      </c>
      <c r="G22" s="24" t="inlineStr">
        <is>
          <t>MIBL: "6.5 overall and 5.5 in each skill" vs others "6.0 overall and 5.5 in each skill"</t>
        </is>
      </c>
      <c r="H22" s="24" t="inlineStr">
        <is>
          <t>Confirm the MIBL requirement.</t>
        </is>
      </c>
      <c r="I22" s="24" t="inlineStr">
        <is>
          <t>Graduate Studies</t>
        </is>
      </c>
      <c r="J22" s="24" t="inlineStr">
        <is>
          <t>Open – awaiting owner decision</t>
        </is>
      </c>
    </row>
    <row r="23">
      <c r="A23" s="21" t="n">
        <v>19</v>
      </c>
      <c r="B23" s="21" t="inlineStr">
        <is>
          <t>F-31</t>
        </is>
      </c>
      <c r="C23" s="21" t="inlineStr">
        <is>
          <t>P2</t>
        </is>
      </c>
      <c r="D23" s="22" t="inlineStr">
        <is>
          <t>admission_calendar_fs_ro (+ academic_calendar_2026_2027_ro)</t>
        </is>
      </c>
      <c r="E23" s="22" t="inlineStr">
        <is>
          <t>Linked from Admissions page</t>
        </is>
      </c>
      <c r="F23" s="22" t="inlineStr">
        <is>
          <t>Calendar: 'Orientation for new applicants – TBA'; no Spring window.</t>
        </is>
      </c>
      <c r="G23" s="22" t="inlineStr">
        <is>
          <t>"Orientation for new applicants TBA" vs academic calendar "Orientation for the new students August 27, 2026"/"January 14, 2027"</t>
        </is>
      </c>
      <c r="H23" s="22" t="inlineStr">
        <is>
          <t>Complete or remove; add next window.</t>
        </is>
      </c>
      <c r="I23" s="22" t="inlineStr">
        <is>
          <t>Admissions</t>
        </is>
      </c>
      <c r="J23" s="22" t="inlineStr">
        <is>
          <t>Open – awaiting owner decision</t>
        </is>
      </c>
    </row>
    <row r="24">
      <c r="A24" s="23" t="n">
        <v>20</v>
      </c>
      <c r="B24" s="23" t="inlineStr">
        <is>
          <t>F-32</t>
        </is>
      </c>
      <c r="C24" s="23" t="inlineStr">
        <is>
          <t>P2</t>
        </is>
      </c>
      <c r="D24" s="24" t="inlineStr">
        <is>
          <t>post_graduate_fees_tf_ro ↔ degrees_programs_fs_ro</t>
        </is>
      </c>
      <c r="E24" s="24" t="inlineStr">
        <is>
          <t>Linked from Admissions page</t>
        </is>
      </c>
      <c r="F24" s="24" t="inlineStr">
        <is>
          <t>Programmes priced on the graduate fees page (e.g., Master of Engineering in Innovation, Sustainability and Entrepreneurship) have no admission page or catalogue entry.</t>
        </is>
      </c>
      <c r="G24" s="24" t="inlineStr">
        <is>
          <t>Fees list "Master of Engineering in Innovation, Sustainability, and Entrepreneurship (33)" and "PRE-Master for Master of Education"; no admission page or Degrees row</t>
        </is>
      </c>
      <c r="H24" s="24" t="inlineStr">
        <is>
          <t>Confirm offering status and align.</t>
        </is>
      </c>
      <c r="I24" s="24" t="inlineStr">
        <is>
          <t>Graduate Studies + Finance</t>
        </is>
      </c>
      <c r="J24" s="24" t="inlineStr">
        <is>
          <t>Open – awaiting owner decision</t>
        </is>
      </c>
    </row>
    <row r="25">
      <c r="A25" s="21" t="n">
        <v>21</v>
      </c>
      <c r="B25" s="21" t="inlineStr">
        <is>
          <t>F-36</t>
        </is>
      </c>
      <c r="C25" s="21" t="inlineStr">
        <is>
          <t>P2</t>
        </is>
      </c>
      <c r="D25" s="22" t="inlineStr">
        <is>
          <t>admission (main page)</t>
        </is>
      </c>
      <c r="E25" s="22" t="inlineStr">
        <is>
          <t>Linked from Admissions page</t>
        </is>
      </c>
      <c r="F25" s="22" t="inlineStr">
        <is>
          <t>The main admission page consists mainly of link lists with little guidance.</t>
        </is>
      </c>
      <c r="G25" s="22" t="inlineStr">
        <is>
          <t>Body = H1 "Admissions Office" + 4 H2 link lists; no intro, no intake status, no dates, no fees, no CTA hierarchy</t>
        </is>
      </c>
      <c r="H25" s="22" t="inlineStr">
        <is>
          <t>Restructure around applicant type (journey).</t>
        </is>
      </c>
      <c r="I25" s="22" t="inlineStr">
        <is>
          <t>Admissions + Web</t>
        </is>
      </c>
      <c r="J25" s="22" t="inlineStr">
        <is>
          <t>Open – awaiting owner decision</t>
        </is>
      </c>
    </row>
    <row r="26">
      <c r="A26" s="23" t="n">
        <v>22</v>
      </c>
      <c r="B26" s="23" t="inlineStr">
        <is>
          <t>F-39</t>
        </is>
      </c>
      <c r="C26" s="23" t="inlineStr">
        <is>
          <t>P2</t>
        </is>
      </c>
      <c r="D26" s="24" t="inlineStr">
        <is>
          <t>11 graduate menu targets</t>
        </is>
      </c>
      <c r="E26" s="24" t="inlineStr">
        <is>
          <t>Linked from Admissions page</t>
        </is>
      </c>
      <c r="F26" s="24" t="inlineStr">
        <is>
          <t>Graduate landing pages do not show the application fee or required documents.</t>
        </is>
      </c>
      <c r="G26" s="24" t="inlineStr">
        <is>
          <t>0 of 11 target pages contains "application fee" or "How to Apply"; these are on separate "Application Form" pages not linked from the main page</t>
        </is>
      </c>
      <c r="H26" s="24" t="inlineStr">
        <is>
          <t>Add or link them.</t>
        </is>
      </c>
      <c r="I26" s="24" t="inlineStr">
        <is>
          <t>Graduate Studies</t>
        </is>
      </c>
      <c r="J26" s="24" t="inlineStr">
        <is>
          <t>Open – awaiting owner decision</t>
        </is>
      </c>
    </row>
    <row r="27">
      <c r="A27" s="21" t="n">
        <v>23</v>
      </c>
      <c r="B27" s="21" t="inlineStr">
        <is>
          <t>F-40</t>
        </is>
      </c>
      <c r="C27" s="21" t="inlineStr">
        <is>
          <t>P2</t>
        </is>
      </c>
      <c r="D27" s="22" t="inlineStr">
        <is>
          <t>college_of_medicine_admission</t>
        </is>
      </c>
      <c r="E27" s="22" t="inlineStr">
        <is>
          <t>Linked from Admissions page</t>
        </is>
      </c>
      <c r="F27" s="22" t="inlineStr">
        <is>
          <t>Medicine page uses non-standard wording and has no English-language requirement.</t>
        </is>
      </c>
      <c r="G27" s="22" t="inlineStr">
        <is>
          <t>"the process typically involves understanding the weighting and criteria that the medical college uses…"; no IELTS/TOEFL/English requirement on page</t>
        </is>
      </c>
      <c r="H27" s="22" t="inlineStr">
        <is>
          <t>Provide approved text including language requirement.</t>
        </is>
      </c>
      <c r="I27" s="22" t="inlineStr">
        <is>
          <t>College of Medicine</t>
        </is>
      </c>
      <c r="J27" s="22" t="inlineStr">
        <is>
          <t>Open – awaiting owner decision</t>
        </is>
      </c>
    </row>
    <row r="28">
      <c r="A28" s="23" t="n">
        <v>24</v>
      </c>
      <c r="B28" s="23" t="inlineStr">
        <is>
          <t>F-41</t>
        </is>
      </c>
      <c r="C28" s="23" t="inlineStr">
        <is>
          <t>P2</t>
        </is>
      </c>
      <c r="D28" s="24" t="inlineStr">
        <is>
          <t>direct-admissions…, graduate pages, toefl-admission, ielts-admission</t>
        </is>
      </c>
      <c r="E28" s="24" t="inlineStr">
        <is>
          <t>Linked from Admissions page</t>
        </is>
      </c>
      <c r="F28" s="24" t="inlineStr">
        <is>
          <t>'IELTS 6.0 or TOEFL iBT 83' are not equivalent per ETS tables (6.0 ≈ 60–78; 83 ≈ 6.5).</t>
        </is>
      </c>
      <c r="G28" s="24" t="inlineStr">
        <is>
          <t>PMU: "6.0 overall … or equivalent TOEFL iBT 83"; ETS: 6.0≈60–78 (67 newer table), 6.5≈79–93 (81)</t>
        </is>
      </c>
      <c r="H28" s="24" t="inlineStr">
        <is>
          <t>Review the equivalence.</t>
        </is>
      </c>
      <c r="I28" s="24" t="inlineStr">
        <is>
          <t>Admissions + Testing Center</t>
        </is>
      </c>
      <c r="J28" s="24" t="inlineStr">
        <is>
          <t>Open – awaiting owner decision</t>
        </is>
      </c>
    </row>
    <row r="29">
      <c r="A29" s="21" t="n">
        <v>25</v>
      </c>
      <c r="B29" s="21" t="inlineStr">
        <is>
          <t>F-42</t>
        </is>
      </c>
      <c r="C29" s="21" t="inlineStr">
        <is>
          <t>P2</t>
        </is>
      </c>
      <c r="D29" s="22" t="inlineStr">
        <is>
          <t>admission-from-the-prep-to-ug-programs ↔ preparatory-program-study-plan</t>
        </is>
      </c>
      <c r="E29" s="22" t="inlineStr">
        <is>
          <t>Linked from Admissions page</t>
        </is>
      </c>
      <c r="F29" s="22" t="inlineStr">
        <is>
          <t>Preparatory maths placement matrix footnotes contradict between two pages.</t>
        </is>
      </c>
      <c r="G29" s="22" t="inlineStr">
        <is>
          <t>"** Department of Architecture is excluded from PRPM 0012" yet Architecture row = PRPM 0012 "Yes"; IT footnote attached to Engineering/Architecture rows; study-plan page has different rows/footnotes</t>
        </is>
      </c>
      <c r="H29" s="22" t="inlineStr">
        <is>
          <t>Keep one matrix.</t>
        </is>
      </c>
      <c r="I29" s="22" t="inlineStr">
        <is>
          <t>PREP</t>
        </is>
      </c>
      <c r="J29" s="22" t="inlineStr">
        <is>
          <t>Open – awaiting owner decision</t>
        </is>
      </c>
    </row>
    <row r="30">
      <c r="A30" s="23" t="n">
        <v>26</v>
      </c>
      <c r="B30" s="23" t="inlineStr">
        <is>
          <t>F-43</t>
        </is>
      </c>
      <c r="C30" s="23" t="inlineStr">
        <is>
          <t>P2</t>
        </is>
      </c>
      <c r="D30" s="24" t="inlineStr">
        <is>
          <t>admissions_requirements_milbl_gdp</t>
        </is>
      </c>
      <c r="E30" s="24" t="inlineStr">
        <is>
          <t>Linked from Admissions page</t>
        </is>
      </c>
      <c r="F30" s="24" t="inlineStr">
        <is>
          <t>MIBL: GPA requirement has no number and the 30% 'written test' is not described.</t>
        </is>
      </c>
      <c r="G30" s="24" t="inlineStr">
        <is>
          <t>"A minimum (Very Good) in Bachelor’s Degree"; "30% for the written test"</t>
        </is>
      </c>
      <c r="H30" s="24" t="inlineStr">
        <is>
          <t>Complete the requirements.</t>
        </is>
      </c>
      <c r="I30" s="24" t="inlineStr">
        <is>
          <t>Graduate Studies</t>
        </is>
      </c>
      <c r="J30" s="24" t="inlineStr">
        <is>
          <t>Open – awaiting owner decision</t>
        </is>
      </c>
    </row>
    <row r="31">
      <c r="A31" s="21" t="n">
        <v>27</v>
      </c>
      <c r="B31" s="21" t="inlineStr">
        <is>
          <t>F-45</t>
        </is>
      </c>
      <c r="C31" s="21" t="inlineStr">
        <is>
          <t>P2</t>
        </is>
      </c>
      <c r="D31" s="22" t="inlineStr">
        <is>
          <t>admissions_queries, admission_contact_gdp</t>
        </is>
      </c>
      <c r="E31" s="22" t="inlineStr">
        <is>
          <t>Linked from Admissions page</t>
        </is>
      </c>
      <c r="F31" s="22" t="inlineStr">
        <is>
          <t>Admission Query form collects name, email and mobile with no visible privacy notice; no phone channel.</t>
        </is>
      </c>
      <c r="G31" s="22" t="inlineStr">
        <is>
          <t>Query form collects Name/Email/Mobile with no privacy text on page; graduate contact = "Office: G-017 Admin Bld; Email" only; undergrad "Contact Us" → staff directory</t>
        </is>
      </c>
      <c r="H31" s="22" t="inlineStr">
        <is>
          <t>Add a privacy notice (legal review) and an official phone/email.</t>
        </is>
      </c>
      <c r="I31" s="22" t="inlineStr">
        <is>
          <t>Admissions + Compliance</t>
        </is>
      </c>
      <c r="J31" s="22" t="inlineStr">
        <is>
          <t>Open – awaiting owner decision</t>
        </is>
      </c>
    </row>
    <row r="32">
      <c r="A32" s="23" t="n">
        <v>28</v>
      </c>
      <c r="B32" s="23" t="inlineStr">
        <is>
          <t>F-47</t>
        </is>
      </c>
      <c r="C32" s="23" t="inlineStr">
        <is>
          <t>P2</t>
        </is>
      </c>
      <c r="D32" s="24" t="inlineStr">
        <is>
          <t>admissions_requirements_phdba_gdp</t>
        </is>
      </c>
      <c r="E32" s="24" t="inlineStr">
        <is>
          <t>Linked from Admissions page</t>
        </is>
      </c>
      <c r="F32" s="24" t="inlineStr">
        <is>
          <t>PhD BA: GPA rule unclear; accreditation claim (AACSB) not referenced.</t>
        </is>
      </c>
      <c r="G32" s="24" t="inlineStr">
        <is>
          <t>"minimum cumulative GPA of 3.00 … or … 3.20"; "internationally accredited by AACSB as top 6%" (sources confirm membership, not full accreditation)</t>
        </is>
      </c>
      <c r="H32" s="24" t="inlineStr">
        <is>
          <t>Clarify / reference.</t>
        </is>
      </c>
      <c r="I32" s="24" t="inlineStr">
        <is>
          <t>Graduate Studies</t>
        </is>
      </c>
      <c r="J32" s="24" t="inlineStr">
        <is>
          <t>Open – awaiting owner decision</t>
        </is>
      </c>
    </row>
    <row r="33">
      <c r="A33" s="21" t="n">
        <v>29</v>
      </c>
      <c r="B33" s="21" t="inlineStr">
        <is>
          <t>F-65</t>
        </is>
      </c>
      <c r="C33" s="21" t="inlineStr">
        <is>
          <t>P2</t>
        </is>
      </c>
      <c r="D33" s="22" t="inlineStr">
        <is>
          <t>admission page 'Contact Us' → faculty.pmu.edu.sa DepartmentStaffList/4</t>
        </is>
      </c>
      <c r="E33" s="22" t="inlineStr">
        <is>
          <t>Linked from Admissions page</t>
        </is>
      </c>
      <c r="F33" s="22" t="inlineStr">
        <is>
          <t>'Contact Us' leads to the Student Affairs staff list; no Admissions contact.</t>
        </is>
      </c>
      <c r="G33" s="22" t="inlineStr">
        <is>
          <t>15 entries; titles Registration/Career/Campus Life; none Admissions</t>
        </is>
      </c>
      <c r="H33" s="22" t="inlineStr">
        <is>
          <t>Link to an Admissions contact page with official email/phone.</t>
        </is>
      </c>
      <c r="I33" s="22" t="inlineStr">
        <is>
          <t>Admissions + Web</t>
        </is>
      </c>
      <c r="J33" s="22" t="inlineStr">
        <is>
          <t>Open – awaiting owner decision</t>
        </is>
      </c>
    </row>
    <row r="34">
      <c r="A34" s="23" t="n">
        <v>30</v>
      </c>
      <c r="B34" s="23" t="inlineStr">
        <is>
          <t>F-68</t>
        </is>
      </c>
      <c r="C34" s="23" t="inlineStr">
        <is>
          <t>P2</t>
        </is>
      </c>
      <c r="D34" s="24" t="inlineStr">
        <is>
          <t>admissions_requirements_milbl_gdp vs application_form_milbl_gdp</t>
        </is>
      </c>
      <c r="E34" s="24" t="inlineStr">
        <is>
          <t>Linked from Admissions page</t>
        </is>
      </c>
      <c r="F34" s="24" t="inlineStr">
        <is>
          <t>MIBL contradicts itself: requirements page IELTS 6.5, application form page 6.0.</t>
        </is>
      </c>
      <c r="G34" s="24" t="inlineStr">
        <is>
          <t>requirements: "6.5 overall and 5.5 in each skill"; application form: "6.0 overall and 5.5 in each skill" (both ... TOEFL iBT 83/19)</t>
        </is>
      </c>
      <c r="H34" s="24" t="inlineStr">
        <is>
          <t>Confirm and align.</t>
        </is>
      </c>
      <c r="I34" s="24" t="inlineStr">
        <is>
          <t>Graduate Studies</t>
        </is>
      </c>
      <c r="J34" s="24" t="inlineStr">
        <is>
          <t>Open – awaiting owner decision</t>
        </is>
      </c>
    </row>
    <row r="35">
      <c r="A35" s="21" t="n">
        <v>31</v>
      </c>
      <c r="B35" s="21" t="inlineStr">
        <is>
          <t>F-69</t>
        </is>
      </c>
      <c r="C35" s="21" t="inlineStr">
        <is>
          <t>P2</t>
        </is>
      </c>
      <c r="D35" s="22" t="inlineStr">
        <is>
          <t>admissions_requirements_emgms_gdp</t>
        </is>
      </c>
      <c r="E35" s="22" t="inlineStr">
        <is>
          <t>Linked from Admissions page</t>
        </is>
      </c>
      <c r="F35" s="22" t="inlineStr">
        <is>
          <t>EMGMS: IELTS 7 vs TOEFL 79 (not equivalent) and legacy PBT test referenced.</t>
        </is>
      </c>
      <c r="G35" s="22" t="inlineStr">
        <is>
          <t>"TOEFL – minimum of 79 iBT (or 60 on the revised PBT…)"; "IELTS – minimum composite score of 7…"; ETS: 79≈IELTS 6.5</t>
        </is>
      </c>
      <c r="H35" s="22" t="inlineStr">
        <is>
          <t>Replace with PMU-approved requirement.</t>
        </is>
      </c>
      <c r="I35" s="22" t="inlineStr">
        <is>
          <t>Graduate Studies</t>
        </is>
      </c>
      <c r="J35" s="22" t="inlineStr">
        <is>
          <t>Open – awaiting owner decision</t>
        </is>
      </c>
    </row>
    <row r="36">
      <c r="A36" s="23" t="n">
        <v>32</v>
      </c>
      <c r="B36" s="23" t="inlineStr">
        <is>
          <t>F-71</t>
        </is>
      </c>
      <c r="C36" s="23" t="inlineStr">
        <is>
          <t>P2</t>
        </is>
      </c>
      <c r="D36" s="24" t="inlineStr">
        <is>
          <t>apply → admissions.pmu.edu.sa/welcome</t>
        </is>
      </c>
      <c r="E36" s="24" t="inlineStr">
        <is>
          <t>Linked from Admissions page</t>
        </is>
      </c>
      <c r="F36" s="24" t="inlineStr">
        <is>
          <t>Bachelor's minimums and weights are published only on /apply, which redirects instantly (published minima compute to 72% non-engineering and 73% engineering/AI/CS).</t>
        </is>
      </c>
      <c r="G36" s="24" t="inlineStr">
        <is>
          <t>Raw GET of /apply: meta refresh 0 + location.replace; body: non-eng HS80/Qudrat60, weights 60/40; Eng/AI/CS/Arch HS85/Qudrat65/Tahseely65, weights 40/30/30, SAT1 1200 alternative</t>
        </is>
      </c>
      <c r="H36" s="24" t="inlineStr">
        <is>
          <t>Show requirements on a visible page; confirm the minimum weighted score.</t>
        </is>
      </c>
      <c r="I36" s="24" t="inlineStr">
        <is>
          <t>Admissions</t>
        </is>
      </c>
      <c r="J36" s="24" t="inlineStr">
        <is>
          <t>Open – awaiting owner decision</t>
        </is>
      </c>
    </row>
    <row r="37">
      <c r="A37" s="21" t="n">
        <v>33</v>
      </c>
      <c r="B37" s="21" t="inlineStr">
        <is>
          <t>F-72</t>
        </is>
      </c>
      <c r="C37" s="21" t="inlineStr">
        <is>
          <t>P2</t>
        </is>
      </c>
      <c r="D37" s="22" t="inlineStr">
        <is>
          <t>admissions_requirements_phdba_gdp</t>
        </is>
      </c>
      <c r="E37" s="22" t="inlineStr">
        <is>
          <t>Linked from Admissions page</t>
        </is>
      </c>
      <c r="F37" s="22" t="inlineStr">
        <is>
          <t>PhD BA eligibility sentence contains a double negative and three GPA thresholds without saying which applies.</t>
        </is>
      </c>
      <c r="G37" s="22" t="inlineStr">
        <is>
          <t>"if the master degree is not from another discipline they must successfully attend and complete with minimum GPA 2.80 12 credit hours of MBA"</t>
        </is>
      </c>
      <c r="H37" s="22" t="inlineStr">
        <is>
          <t>Rewrite as clear conditions.</t>
        </is>
      </c>
      <c r="I37" s="22" t="inlineStr">
        <is>
          <t>Graduate Studies</t>
        </is>
      </c>
      <c r="J37" s="22" t="inlineStr">
        <is>
          <t>Open – awaiting owner decision</t>
        </is>
      </c>
    </row>
    <row r="38">
      <c r="A38" s="23" t="n">
        <v>34</v>
      </c>
      <c r="B38" s="23" t="inlineStr">
        <is>
          <t>F-74</t>
        </is>
      </c>
      <c r="C38" s="23" t="inlineStr">
        <is>
          <t>P2</t>
        </is>
      </c>
      <c r="D38" s="24" t="inlineStr">
        <is>
          <t>admissions_requirements_emgms_gdp ↔ admission</t>
        </is>
      </c>
      <c r="E38" s="24" t="inlineStr">
        <is>
          <t>Linked from Admissions page</t>
        </is>
      </c>
      <c r="F38" s="24" t="inlineStr">
        <is>
          <t>EMGMS is listed on the hub but has no 'Apply' link or application route.</t>
        </is>
      </c>
      <c r="G38" s="24" t="inlineStr">
        <is>
          <t>sidebar lists Apply for EMBA / MBA / MSHD / MSME only; hub lists 'Admissions to the EMGMS Program'</t>
        </is>
      </c>
      <c r="H38" s="24" t="inlineStr">
        <is>
          <t>Add the route or state the programme status.</t>
        </is>
      </c>
      <c r="I38" s="24" t="inlineStr">
        <is>
          <t>Graduate Studies + Web</t>
        </is>
      </c>
      <c r="J38" s="24" t="inlineStr">
        <is>
          <t>Open – awaiting owner decision</t>
        </is>
      </c>
    </row>
    <row r="39">
      <c r="A39" s="21" t="n">
        <v>35</v>
      </c>
      <c r="B39" s="21" t="inlineStr">
        <is>
          <t>F-76</t>
        </is>
      </c>
      <c r="C39" s="21" t="inlineStr">
        <is>
          <t>P2</t>
        </is>
      </c>
      <c r="D39" s="22" t="inlineStr">
        <is>
          <t>/apply ↔ sat-admission ↔ admissions_requirements_cs_eng_majors</t>
        </is>
      </c>
      <c r="E39" s="22" t="inlineStr">
        <is>
          <t>Linked from Admissions page</t>
        </is>
      </c>
      <c r="F39" s="22" t="inlineStr">
        <is>
          <t>SAT 1200 alternative is described differently: /apply (instead of Qudrat and Tahseely, all Eng/AI/CS/Architecture), SAT page (international certificate holders, instead of Qudrat), CS/Eng page ('SAAT – Tahseely or SAT 1 (1200)').</t>
        </is>
      </c>
      <c r="G39" s="22" t="inlineStr">
        <is>
          <t>apply: "a SAT 1 total score of 1200 is accepted in place of both Qudrat and Tahseely"; sat-admission:56; cs_eng:89</t>
        </is>
      </c>
      <c r="H39" s="22" t="inlineStr">
        <is>
          <t>Publish one rule.</t>
        </is>
      </c>
      <c r="I39" s="22" t="inlineStr">
        <is>
          <t>Admissions</t>
        </is>
      </c>
      <c r="J39" s="22" t="inlineStr">
        <is>
          <t>Open – awaiting owner decision</t>
        </is>
      </c>
    </row>
    <row r="40">
      <c r="A40" s="23" t="n">
        <v>36</v>
      </c>
      <c r="B40" s="23" t="inlineStr">
        <is>
          <t>F-14</t>
        </is>
      </c>
      <c r="C40" s="23" t="inlineStr">
        <is>
          <t>P3</t>
        </is>
      </c>
      <c r="D40" s="24" t="inlineStr">
        <is>
          <t>multiple</t>
        </is>
      </c>
      <c r="E40" s="24" t="inlineStr">
        <is>
          <t>Linked from Admissions page</t>
        </is>
      </c>
      <c r="F40" s="24" t="inlineStr">
        <is>
          <t>Spelling/wording errors (e.g., 'Visting Students', 'wave' for 'waive', 'Verifaction Code').</t>
        </is>
      </c>
      <c r="G40" s="24" t="inlineStr">
        <is>
          <t>"Visting Students","wave one or more","Verifaction Code","College of Medical","ADMISSSIONS"×4,"Admisssions"×2</t>
        </is>
      </c>
      <c r="H40" s="24" t="inlineStr">
        <is>
          <t>Proofread.</t>
        </is>
      </c>
      <c r="I40" s="24" t="inlineStr">
        <is>
          <t>Admissions + Web</t>
        </is>
      </c>
      <c r="J40" s="24" t="inlineStr">
        <is>
          <t>Open – awaiting owner decision</t>
        </is>
      </c>
    </row>
    <row r="41">
      <c r="A41" s="21" t="n">
        <v>37</v>
      </c>
      <c r="B41" s="21" t="inlineStr">
        <is>
          <t>F-20</t>
        </is>
      </c>
      <c r="C41" s="21" t="inlineStr">
        <is>
          <t>P3</t>
        </is>
      </c>
      <c r="D41" s="22" t="inlineStr">
        <is>
          <t>all</t>
        </is>
      </c>
      <c r="E41" s="22" t="inlineStr">
        <is>
          <t>Linked from Admissions page</t>
        </is>
      </c>
      <c r="F41" s="22" t="inlineStr">
        <is>
          <t>No meta description/canonical; several hosts/URL forms for the same page.</t>
        </is>
      </c>
      <c r="G41" s="22" t="inlineStr">
        <is>
          <t>Main page served at pmu.edu.sa without redirect to www; links use "../Admission/X.aspx" (legacy case/extension)</t>
        </is>
      </c>
      <c r="H41" s="22" t="inlineStr">
        <is>
          <t>Set canonical URLs.</t>
        </is>
      </c>
      <c r="I41" s="22" t="inlineStr">
        <is>
          <t>Web / IT</t>
        </is>
      </c>
      <c r="J41" s="22" t="inlineStr">
        <is>
          <t>Open – awaiting owner decision</t>
        </is>
      </c>
    </row>
    <row r="42">
      <c r="A42" s="23" t="n">
        <v>38</v>
      </c>
      <c r="B42" s="23" t="inlineStr">
        <is>
          <t>F-24</t>
        </is>
      </c>
      <c r="C42" s="23" t="inlineStr">
        <is>
          <t>P3</t>
        </is>
      </c>
      <c r="D42" s="24" t="inlineStr">
        <is>
          <t>admission_calendar_fs_ro</t>
        </is>
      </c>
      <c r="E42" s="24" t="inlineStr">
        <is>
          <t>Linked from Admissions page</t>
        </is>
      </c>
      <c r="F42" s="24" t="inlineStr">
        <is>
          <t>Calendar 'Apply Now' uses javascript:__doPostBack instead of a normal link.</t>
        </is>
      </c>
      <c r="G42" s="24" t="inlineStr">
        <is>
          <t>href="javascript:WebForm_DoPostBackWithOptions(… Apply_Now_ADS …)"; 7 URL forms reach the same portal</t>
        </is>
      </c>
      <c r="H42" s="24" t="inlineStr">
        <is>
          <t>Use a standard link.</t>
        </is>
      </c>
      <c r="I42" s="24" t="inlineStr">
        <is>
          <t>Web / IT</t>
        </is>
      </c>
      <c r="J42" s="24" t="inlineStr">
        <is>
          <t>Open – awaiting owner decision</t>
        </is>
      </c>
    </row>
    <row r="43">
      <c r="A43" s="21" t="n">
        <v>39</v>
      </c>
      <c r="B43" s="21" t="inlineStr">
        <is>
          <t>F-26</t>
        </is>
      </c>
      <c r="C43" s="21" t="inlineStr">
        <is>
          <t>P3</t>
        </is>
      </c>
      <c r="D43" s="22" t="inlineStr">
        <is>
          <t>undergraduate_programs_admission, international_students, calendar</t>
        </is>
      </c>
      <c r="E43" s="22" t="inlineStr">
        <is>
          <t>Linked from Admissions page</t>
        </is>
      </c>
      <c r="F43" s="22" t="inlineStr">
        <is>
          <t>Heading levels out of order on several pages.</t>
        </is>
      </c>
      <c r="G43" s="22" t="inlineStr">
        <is>
          <t>H2 before H1; H1→H3→H4 then H3; H2→H4</t>
        </is>
      </c>
      <c r="H43" s="22" t="inlineStr">
        <is>
          <t>Fix heading order.</t>
        </is>
      </c>
      <c r="I43" s="22" t="inlineStr">
        <is>
          <t>Web / IT</t>
        </is>
      </c>
      <c r="J43" s="22" t="inlineStr">
        <is>
          <t>Open – awaiting owner decision</t>
        </is>
      </c>
    </row>
    <row r="44">
      <c r="A44" s="23" t="n">
        <v>40</v>
      </c>
      <c r="B44" s="23" t="inlineStr">
        <is>
          <t>F-35</t>
        </is>
      </c>
      <c r="C44" s="23" t="inlineStr">
        <is>
          <t>P3</t>
        </is>
      </c>
      <c r="D44" s="24" t="inlineStr">
        <is>
          <t>sat-admission ↔ admissions_requirements_cs_eng_majors</t>
        </is>
      </c>
      <c r="E44" s="24" t="inlineStr">
        <is>
          <t>Linked from Admissions page</t>
        </is>
      </c>
      <c r="F44" s="24" t="inlineStr">
        <is>
          <t>The list of majors with higher requirements differs between the SAT page and the CS/Engineering page.</t>
        </is>
      </c>
      <c r="G44" s="24" t="inlineStr">
        <is>
          <t>SAT page lists "Artificial Intelligence … etc."; CS/Eng page omits AI &amp; Cybersecurity</t>
        </is>
      </c>
      <c r="H44" s="24" t="inlineStr">
        <is>
          <t>Publish one list.</t>
        </is>
      </c>
      <c r="I44" s="24" t="inlineStr">
        <is>
          <t>Admissions</t>
        </is>
      </c>
      <c r="J44" s="24" t="inlineStr">
        <is>
          <t>Open – awaiting owner decision</t>
        </is>
      </c>
    </row>
    <row r="45">
      <c r="A45" s="21" t="n">
        <v>41</v>
      </c>
      <c r="B45" s="21" t="inlineStr">
        <is>
          <t>F-37</t>
        </is>
      </c>
      <c r="C45" s="21" t="inlineStr">
        <is>
          <t>P3</t>
        </is>
      </c>
      <c r="D45" s="22" t="inlineStr">
        <is>
          <t>admission; admission_graduate_degree_programs</t>
        </is>
      </c>
      <c r="E45" s="22" t="inlineStr">
        <is>
          <t>Linked from Admissions page</t>
        </is>
      </c>
      <c r="F45" s="22" t="inlineStr">
        <is>
          <t>Ambiguous/duplicated link labels (e.g., several 'Home').</t>
        </is>
      </c>
      <c r="G45" s="22" t="inlineStr">
        <is>
          <t>"Home"×3 (3 different targets); "Tuition &amp; Fees"×2 (different targets); "Application Form"/"Admissions Requirements"×5 identical</t>
        </is>
      </c>
      <c r="H45" s="22" t="inlineStr">
        <is>
          <t>Use unique labels.</t>
        </is>
      </c>
      <c r="I45" s="22" t="inlineStr">
        <is>
          <t>Web</t>
        </is>
      </c>
      <c r="J45" s="22" t="inlineStr">
        <is>
          <t>Open – awaiting owner decision</t>
        </is>
      </c>
    </row>
    <row r="46">
      <c r="A46" s="23" t="n">
        <v>42</v>
      </c>
      <c r="B46" s="23" t="inlineStr">
        <is>
          <t>F-38</t>
        </is>
      </c>
      <c r="C46" s="23" t="inlineStr">
        <is>
          <t>P3</t>
        </is>
      </c>
      <c r="D46" s="24" t="inlineStr">
        <is>
          <t>admission (main page)</t>
        </is>
      </c>
      <c r="E46" s="24" t="inlineStr">
        <is>
          <t>Linked from Admissions page</t>
        </is>
      </c>
      <c r="F46" s="24" t="inlineStr">
        <is>
          <t>Structural accessibility issues on the main page (empty link, landmarks).</t>
        </is>
      </c>
      <c r="G46" s="24" t="inlineStr">
        <is>
          <t>No &lt;main&gt; landmark (HEADER,NAV,HEADER,NAV,FOOTER,FOOTER); empty anchor href="#sidebar"; iframe search/new-search.html has no title; logo-PMU-1.png 301 (case)</t>
        </is>
      </c>
      <c r="H46" s="24" t="inlineStr">
        <is>
          <t>Fix structure.</t>
        </is>
      </c>
      <c r="I46" s="24" t="inlineStr">
        <is>
          <t>Web / IT</t>
        </is>
      </c>
      <c r="J46" s="24" t="inlineStr">
        <is>
          <t>Open – awaiting owner decision</t>
        </is>
      </c>
    </row>
    <row r="47">
      <c r="A47" s="21" t="n">
        <v>43</v>
      </c>
      <c r="B47" s="21" t="inlineStr">
        <is>
          <t>F-44</t>
        </is>
      </c>
      <c r="C47" s="21" t="inlineStr">
        <is>
          <t>P3</t>
        </is>
      </c>
      <c r="D47" s="22" t="inlineStr">
        <is>
          <t>aptis-placement-test</t>
        </is>
      </c>
      <c r="E47" s="22" t="inlineStr">
        <is>
          <t>Linked from Admissions page</t>
        </is>
      </c>
      <c r="F47" s="22" t="inlineStr">
        <is>
          <t>Aptis score bands are not published; 'Core Program' term unexplained.</t>
        </is>
      </c>
      <c r="G47" s="22" t="inlineStr">
        <is>
          <t>Levels listed (Pre Beginner…Advanced) without score bands; "direct entry into the Core Program"</t>
        </is>
      </c>
      <c r="H47" s="22" t="inlineStr">
        <is>
          <t>Publish bands.</t>
        </is>
      </c>
      <c r="I47" s="22" t="inlineStr">
        <is>
          <t>PREP</t>
        </is>
      </c>
      <c r="J47" s="22" t="inlineStr">
        <is>
          <t>Open – awaiting owner decision</t>
        </is>
      </c>
    </row>
    <row r="48">
      <c r="A48" s="23" t="n">
        <v>44</v>
      </c>
      <c r="B48" s="23" t="inlineStr">
        <is>
          <t>F-46</t>
        </is>
      </c>
      <c r="C48" s="23" t="inlineStr">
        <is>
          <t>P3</t>
        </is>
      </c>
      <c r="D48" s="24" t="inlineStr">
        <is>
          <t>international_students</t>
        </is>
      </c>
      <c r="E48" s="24" t="inlineStr">
        <is>
          <t>Linked from Admissions page</t>
        </is>
      </c>
      <c r="F48" s="24" t="inlineStr">
        <is>
          <t>International page: empty 'Transportation' section; 'Acceptable SAT I' with no score.</t>
        </is>
      </c>
      <c r="G48" s="24" t="inlineStr">
        <is>
          <t>"Transportation" heading with no text; "Acceptable SAT I" (no threshold) vs 1200/1300 elsewhere</t>
        </is>
      </c>
      <c r="H48" s="24" t="inlineStr">
        <is>
          <t>Complete or remove.</t>
        </is>
      </c>
      <c r="I48" s="24" t="inlineStr">
        <is>
          <t>Admissions</t>
        </is>
      </c>
      <c r="J48" s="24" t="inlineStr">
        <is>
          <t>Open – awaiting owner decision</t>
        </is>
      </c>
    </row>
    <row r="49">
      <c r="A49" s="21" t="n">
        <v>45</v>
      </c>
      <c r="B49" s="21" t="inlineStr">
        <is>
          <t>F-49</t>
        </is>
      </c>
      <c r="C49" s="21" t="inlineStr">
        <is>
          <t>P3</t>
        </is>
      </c>
      <c r="D49" s="22" t="inlineStr">
        <is>
          <t>admission_calendar_fs_ro</t>
        </is>
      </c>
      <c r="E49" s="22" t="inlineStr">
        <is>
          <t>Linked from Admissions page</t>
        </is>
      </c>
      <c r="F49" s="22" t="inlineStr">
        <is>
          <t>Calendar blocks are duplicated in the page source.</t>
        </is>
      </c>
      <c r="G49" s="22" t="inlineStr">
        <is>
          <t>Rendered text repeats Undergraduate and Graduate calendar blocks twice</t>
        </is>
      </c>
      <c r="H49" s="22" t="inlineStr">
        <is>
          <t>Remove duplication.</t>
        </is>
      </c>
      <c r="I49" s="22" t="inlineStr">
        <is>
          <t>Web</t>
        </is>
      </c>
      <c r="J49" s="22" t="inlineStr">
        <is>
          <t>Open – awaiting owner decision</t>
        </is>
      </c>
    </row>
    <row r="50">
      <c r="A50" s="23" t="n">
        <v>46</v>
      </c>
      <c r="B50" s="23" t="inlineStr">
        <is>
          <t>F-66</t>
        </is>
      </c>
      <c r="C50" s="23" t="inlineStr">
        <is>
          <t>P3</t>
        </is>
      </c>
      <c r="D50" s="24" t="inlineStr">
        <is>
          <t>Staff_List?DEpt=4&amp;Name=Staff Name</t>
        </is>
      </c>
      <c r="E50" s="24" t="inlineStr">
        <is>
          <t>Linked from Admissions page</t>
        </is>
      </c>
      <c r="F50" s="24" t="inlineStr">
        <is>
          <t>Duplicated staff entry; placeholder parameter 'Name=Staff Name' in the link.</t>
        </is>
      </c>
      <c r="G50" s="24" t="inlineStr">
        <is>
          <t>duplicate entry; Name=Staff Name dropped on redirect</t>
        </is>
      </c>
      <c r="H50" s="24" t="inlineStr">
        <is>
          <t>Clean up.</t>
        </is>
      </c>
      <c r="I50" s="24" t="inlineStr">
        <is>
          <t>Web</t>
        </is>
      </c>
      <c r="J50" s="24" t="inlineStr">
        <is>
          <t>Open – awaiting owner decision</t>
        </is>
      </c>
    </row>
    <row r="51">
      <c r="A51" s="21" t="n">
        <v>47</v>
      </c>
      <c r="B51" s="21" t="inlineStr">
        <is>
          <t>F-67</t>
        </is>
      </c>
      <c r="C51" s="21" t="inlineStr">
        <is>
          <t>P3</t>
        </is>
      </c>
      <c r="D51" s="22" t="inlineStr">
        <is>
          <t>/default</t>
        </is>
      </c>
      <c r="E51" s="22" t="inlineStr">
        <is>
          <t>Linked from Admissions page</t>
        </is>
      </c>
      <c r="F51" s="22" t="inlineStr">
        <is>
          <t>Home page shows the NCAAA paragraph twice (visible, mobile).</t>
        </is>
      </c>
      <c r="G51" s="22" t="inlineStr">
        <is>
          <t>Mobile DOM probe (390px): the NCAAA paragraph appears twice, both visible, not inside a slider; lang attr empty; no &lt;h1&gt;</t>
        </is>
      </c>
      <c r="H51" s="22" t="inlineStr">
        <is>
          <t>Remove duplicate.</t>
        </is>
      </c>
      <c r="I51" s="22" t="inlineStr">
        <is>
          <t>Web</t>
        </is>
      </c>
      <c r="J51" s="22" t="inlineStr">
        <is>
          <t>Open – awaiting owner decision</t>
        </is>
      </c>
    </row>
    <row r="52">
      <c r="A52" s="23" t="n">
        <v>48</v>
      </c>
      <c r="B52" s="23" t="inlineStr">
        <is>
          <t>F-70</t>
        </is>
      </c>
      <c r="C52" s="23" t="inlineStr">
        <is>
          <t>P3</t>
        </is>
      </c>
      <c r="D52" s="24" t="inlineStr">
        <is>
          <t>/default</t>
        </is>
      </c>
      <c r="E52" s="24" t="inlineStr">
        <is>
          <t>Linked from Admissions page</t>
        </is>
      </c>
      <c r="F52" s="24" t="inlineStr">
        <is>
          <t>Home page has no lang attribute and no H1.</t>
        </is>
      </c>
      <c r="G52" s="24" t="inlineStr">
        <is>
          <t>result8_home.json: lang="", h1=[]</t>
        </is>
      </c>
      <c r="H52" s="24" t="inlineStr">
        <is>
          <t>Add.</t>
        </is>
      </c>
      <c r="I52" s="24" t="inlineStr">
        <is>
          <t>Web / IT</t>
        </is>
      </c>
      <c r="J52" s="24" t="inlineStr">
        <is>
          <t>Open – awaiting owner decision</t>
        </is>
      </c>
    </row>
    <row r="53">
      <c r="A53" s="21" t="n">
        <v>49</v>
      </c>
      <c r="B53" s="21" t="inlineStr">
        <is>
          <t>F-73</t>
        </is>
      </c>
      <c r="C53" s="21" t="inlineStr">
        <is>
          <t>P3</t>
        </is>
      </c>
      <c r="D53" s="22" t="inlineStr">
        <is>
          <t>admissions_requirements_emba_gdp</t>
        </is>
      </c>
      <c r="E53" s="22" t="inlineStr">
        <is>
          <t>Linked from Admissions page</t>
        </is>
      </c>
      <c r="F53" s="22" t="inlineStr">
        <is>
          <t>EMBA: 'from three to five years of professional work experience' implies a maximum.</t>
        </is>
      </c>
      <c r="G53" s="22" t="inlineStr">
        <is>
          <t>"Successful candidates should have from three to five years of professional work experience"</t>
        </is>
      </c>
      <c r="H53" s="22" t="inlineStr">
        <is>
          <t>State the minimum only (if intended).</t>
        </is>
      </c>
      <c r="I53" s="22" t="inlineStr">
        <is>
          <t>Graduate Studies</t>
        </is>
      </c>
      <c r="J53" s="22" t="inlineStr">
        <is>
          <t>Open – awaiting owner decision</t>
        </is>
      </c>
    </row>
    <row r="54">
      <c r="A54" s="23" t="n">
        <v>50</v>
      </c>
      <c r="B54" s="23" t="inlineStr">
        <is>
          <t>F-75</t>
        </is>
      </c>
      <c r="C54" s="23" t="inlineStr">
        <is>
          <t>P3</t>
        </is>
      </c>
      <c r="D54" s="24" t="inlineStr">
        <is>
          <t>application_form_deme_gdp</t>
        </is>
      </c>
      <c r="E54" s="24" t="inlineStr">
        <is>
          <t>Linked from Admissions page</t>
        </is>
      </c>
      <c r="F54" s="24" t="inlineStr">
        <is>
          <t>PhD Mechanical Engineering page title says 'Application Form for MSDH'.</t>
        </is>
      </c>
      <c r="G54" s="24" t="inlineStr">
        <is>
          <t>TITLE: Application Form for MSDH :: Graduate Degree Programs … ; H: PhD in Mechanical Engineering ADMISSSIONS REQUIREMENTS</t>
        </is>
      </c>
      <c r="H54" s="24" t="inlineStr">
        <is>
          <t>Correct the page title.</t>
        </is>
      </c>
      <c r="I54" s="24" t="inlineStr">
        <is>
          <t>Web</t>
        </is>
      </c>
      <c r="J54" s="24" t="inlineStr">
        <is>
          <t>Open – awaiting owner decision</t>
        </is>
      </c>
    </row>
    <row r="55">
      <c r="A55" s="21" t="n">
        <v>51</v>
      </c>
      <c r="B55" s="21" t="inlineStr">
        <is>
          <t>F-77</t>
        </is>
      </c>
      <c r="C55" s="21" t="inlineStr">
        <is>
          <t>P3</t>
        </is>
      </c>
      <c r="D55" s="22" t="inlineStr">
        <is>
          <t>admissions.pmu.edu.sa/welcome</t>
        </is>
      </c>
      <c r="E55" s="22" t="inlineStr">
        <is>
          <t>Linked from Admissions page</t>
        </is>
      </c>
      <c r="F55" s="22" t="inlineStr">
        <is>
          <t>Application portal is English-only, shows no privacy link and no admission calendar.</t>
        </is>
      </c>
      <c r="G55" s="22" t="inlineStr">
        <is>
          <t>Browser probe 2026-10-10: lang=en; privacy links=0; 'No events are currently published' (prior observation)</t>
        </is>
      </c>
      <c r="H55" s="22" t="inlineStr">
        <is>
          <t>Add Arabic and privacy notice (after compliance review).</t>
        </is>
      </c>
      <c r="I55" s="22" t="inlineStr">
        <is>
          <t>Admissions + IT</t>
        </is>
      </c>
      <c r="J55" s="22" t="inlineStr">
        <is>
          <t>Open – awaiting owner decision</t>
        </is>
      </c>
    </row>
    <row r="56">
      <c r="A56" s="23" t="n">
        <v>52</v>
      </c>
      <c r="B56" s="23" t="inlineStr">
        <is>
          <t>F-17</t>
        </is>
      </c>
      <c r="C56" s="23" t="inlineStr">
        <is>
          <t>P1</t>
        </is>
      </c>
      <c r="D56" s="24" t="inlineStr">
        <is>
          <t>freshman_admission (orphan)</t>
        </is>
      </c>
      <c r="E56" s="24" t="inlineStr">
        <is>
          <t>Legacy/adjacent page (not linked from hub)</t>
        </is>
      </c>
      <c r="F56" s="24" t="inlineStr">
        <is>
          <t>Legacy page 'freshman_admission' (not linked from the hub) still shows old weights (30/50/20) and exemptions.</t>
        </is>
      </c>
      <c r="G56" s="24" t="inlineStr">
        <is>
          <t>"High school 30% / Aptitude Test 50% / Personal Interview 20%"; "TOEFL … 513 (CBT 183, iBT 65)"</t>
        </is>
      </c>
      <c r="H56" s="24" t="inlineStr">
        <is>
          <t>Redirect or unpublish.</t>
        </is>
      </c>
      <c r="I56" s="24" t="inlineStr">
        <is>
          <t>Admissions + Web</t>
        </is>
      </c>
      <c r="J56" s="24" t="inlineStr">
        <is>
          <t>Open – awaiting owner decision</t>
        </is>
      </c>
    </row>
    <row r="57">
      <c r="A57" s="21" t="n">
        <v>53</v>
      </c>
      <c r="B57" s="21" t="inlineStr">
        <is>
          <t>F-27</t>
        </is>
      </c>
      <c r="C57" s="21" t="inlineStr">
        <is>
          <t>P1</t>
        </is>
      </c>
      <c r="D57" s="22" t="inlineStr">
        <is>
          <t>payment_schedule_tf_ro_fall; faq_tf_ro</t>
        </is>
      </c>
      <c r="E57" s="22" t="inlineStr">
        <is>
          <t>Legacy/adjacent page (not linked from hub)</t>
        </is>
      </c>
      <c r="F57" s="22" t="inlineStr">
        <is>
          <t>Payment schedule and fees FAQ still show 2025/26 fees.</t>
        </is>
      </c>
      <c r="G57" s="22" t="inlineStr">
        <is>
          <t>10,000+10,000+9,000=29,000 vs 2026/27 "SAR 30,000 / semester"</t>
        </is>
      </c>
      <c r="H57" s="22" t="inlineStr">
        <is>
          <t>Update or archive.</t>
        </is>
      </c>
      <c r="I57" s="22" t="inlineStr">
        <is>
          <t>Finance</t>
        </is>
      </c>
      <c r="J57" s="22" t="inlineStr">
        <is>
          <t>Open – awaiting owner decision</t>
        </is>
      </c>
    </row>
    <row r="58">
      <c r="A58" s="23" t="n">
        <v>54</v>
      </c>
      <c r="B58" s="23" t="inlineStr">
        <is>
          <t>F-05</t>
        </is>
      </c>
      <c r="C58" s="23" t="inlineStr">
        <is>
          <t>P2</t>
        </is>
      </c>
      <c r="D58" s="24" t="inlineStr">
        <is>
          <t>transfer-student-admission (orphan)</t>
        </is>
      </c>
      <c r="E58" s="24" t="inlineStr">
        <is>
          <t>Legacy/adjacent page (not linked from hub)</t>
        </is>
      </c>
      <c r="F58" s="24" t="inlineStr">
        <is>
          <t>Legacy transfer page states IELTS 5.0 per skill.</t>
        </is>
      </c>
      <c r="G58" s="24" t="inlineStr">
        <is>
          <t>"minimum score of 5.0 on each test component"</t>
        </is>
      </c>
      <c r="H58" s="24" t="inlineStr">
        <is>
          <t>Redirect or unpublish.</t>
        </is>
      </c>
      <c r="I58" s="24" t="inlineStr">
        <is>
          <t>Admissions + Web</t>
        </is>
      </c>
      <c r="J58" s="24" t="inlineStr">
        <is>
          <t>Open – awaiting owner decision</t>
        </is>
      </c>
    </row>
    <row r="59">
      <c r="A59" s="21" t="n">
        <v>55</v>
      </c>
      <c r="B59" s="21" t="inlineStr">
        <is>
          <t>F-09</t>
        </is>
      </c>
      <c r="C59" s="21" t="inlineStr">
        <is>
          <t>P2</t>
        </is>
      </c>
      <c r="D59" s="22" t="inlineStr">
        <is>
          <t>ielts_course (orphan)</t>
        </is>
      </c>
      <c r="E59" s="22" t="inlineStr">
        <is>
          <t>Legacy/adjacent page (not linked from hub)</t>
        </is>
      </c>
      <c r="F59" s="22" t="inlineStr">
        <is>
          <t>2019 IELTS course page still online.</t>
        </is>
      </c>
      <c r="G59" s="22" t="inlineStr">
        <is>
          <t>"From July 14, 2019 to August 02, 2019"</t>
        </is>
      </c>
      <c r="H59" s="22" t="inlineStr">
        <is>
          <t>Archive.</t>
        </is>
      </c>
      <c r="I59" s="22" t="inlineStr">
        <is>
          <t>Web</t>
        </is>
      </c>
      <c r="J59" s="22" t="inlineStr">
        <is>
          <t>Open – awaiting owner decision</t>
        </is>
      </c>
    </row>
    <row r="60">
      <c r="A60" s="23" t="n">
        <v>56</v>
      </c>
      <c r="B60" s="23" t="inlineStr">
        <is>
          <t>F-21</t>
        </is>
      </c>
      <c r="C60" s="23" t="inlineStr">
        <is>
          <t>P2</t>
        </is>
      </c>
      <c r="D60" s="24" t="inlineStr">
        <is>
          <t>next-steps</t>
        </is>
      </c>
      <c r="E60" s="24" t="inlineStr">
        <is>
          <t>Legacy/adjacent page (not linked from hub)</t>
        </is>
      </c>
      <c r="F60" s="24" t="inlineStr">
        <is>
          <t>'Next steps' page scrolls horizontally on mobile (440 &gt; 390 px).</t>
        </is>
      </c>
      <c r="G60" s="24" t="inlineStr">
        <is>
          <t>scrollWidth 440 vs 390</t>
        </is>
      </c>
      <c r="H60" s="24" t="inlineStr">
        <is>
          <t>Fix layout.</t>
        </is>
      </c>
      <c r="I60" s="24" t="inlineStr">
        <is>
          <t>Web / IT</t>
        </is>
      </c>
      <c r="J60" s="24" t="inlineStr">
        <is>
          <t>Open – awaiting owner decision</t>
        </is>
      </c>
    </row>
    <row r="61">
      <c r="A61" s="21" t="n">
        <v>57</v>
      </c>
      <c r="B61" s="21" t="inlineStr">
        <is>
          <t>F-28</t>
        </is>
      </c>
      <c r="C61" s="21" t="inlineStr">
        <is>
          <t>P2</t>
        </is>
      </c>
      <c r="D61" s="22" t="inlineStr">
        <is>
          <t>payment_method_tf_ro</t>
        </is>
      </c>
      <c r="E61" s="22" t="inlineStr">
        <is>
          <t>Legacy/adjacent page (not linked from hub)</t>
        </is>
      </c>
      <c r="F61" s="22" t="inlineStr">
        <is>
          <t>Refund policy statements contradict on the payment method page.</t>
        </is>
      </c>
      <c r="G61" s="22" t="inlineStr">
        <is>
          <t>"All tuition payments are non-refundable." + 25%/50%/75% deductions</t>
        </is>
      </c>
      <c r="H61" s="22" t="inlineStr">
        <is>
          <t>Clarify.</t>
        </is>
      </c>
      <c r="I61" s="22" t="inlineStr">
        <is>
          <t>Finance</t>
        </is>
      </c>
      <c r="J61" s="22" t="inlineStr">
        <is>
          <t>Open – awaiting owner decision</t>
        </is>
      </c>
    </row>
    <row r="62">
      <c r="A62" s="23" t="n">
        <v>58</v>
      </c>
      <c r="B62" s="23" t="inlineStr">
        <is>
          <t>F-30</t>
        </is>
      </c>
      <c r="C62" s="23" t="inlineStr">
        <is>
          <t>P2</t>
        </is>
      </c>
      <c r="D62" s="24" t="inlineStr">
        <is>
          <t>sidebar targets (scholarships, GPA calculator)</t>
        </is>
      </c>
      <c r="E62" s="24" t="inlineStr">
        <is>
          <t>Legacy/adjacent page (not linked from hub)</t>
        </is>
      </c>
      <c r="F62" s="24" t="inlineStr">
        <is>
          <t>Four sidebar links return 404; financial aid page empty.</t>
        </is>
      </c>
      <c r="G62" s="24" t="inlineStr">
        <is>
          <t>404 - File or directory not found</t>
        </is>
      </c>
      <c r="H62" s="24" t="inlineStr">
        <is>
          <t>Fix links.</t>
        </is>
      </c>
      <c r="I62" s="24" t="inlineStr">
        <is>
          <t>Web</t>
        </is>
      </c>
      <c r="J62" s="24" t="inlineStr">
        <is>
          <t>Open – awaiting owner decision</t>
        </is>
      </c>
    </row>
    <row r="63">
      <c r="A63" s="21" t="n">
        <v>59</v>
      </c>
      <c r="B63" s="21" t="inlineStr">
        <is>
          <t>F-15</t>
        </is>
      </c>
      <c r="C63" s="21" t="inlineStr">
        <is>
          <t>P3</t>
        </is>
      </c>
      <c r="D63" s="22" t="inlineStr">
        <is>
          <t>news/2010; news?ID=1115</t>
        </is>
      </c>
      <c r="E63" s="22" t="inlineStr">
        <is>
          <t>Legacy/adjacent page (not linked from hub)</t>
        </is>
      </c>
      <c r="F63" s="22" t="inlineStr">
        <is>
          <t>Old news items (2010, 1435/1436H) still reachable.</t>
        </is>
      </c>
      <c r="G63" s="22" t="inlineStr">
        <is>
          <t>"العام الجامعي 1436/1435هـ"</t>
        </is>
      </c>
      <c r="H63" s="22" t="inlineStr">
        <is>
          <t>Archive.</t>
        </is>
      </c>
      <c r="I63" s="22" t="inlineStr">
        <is>
          <t>Web</t>
        </is>
      </c>
      <c r="J63" s="22" t="inlineStr">
        <is>
          <t>Open – awaiting owner decision</t>
        </is>
      </c>
    </row>
    <row r="64">
      <c r="A64" s="23" t="n">
        <v>60</v>
      </c>
      <c r="B64" s="23" t="inlineStr">
        <is>
          <t>F-33</t>
        </is>
      </c>
      <c r="C64" s="23" t="inlineStr">
        <is>
          <t>P3</t>
        </is>
      </c>
      <c r="D64" s="24" t="inlineStr">
        <is>
          <t>13 academic calendars; PDFs</t>
        </is>
      </c>
      <c r="E64" s="24" t="inlineStr">
        <is>
          <t>Legacy/adjacent page (not linked from hub)</t>
        </is>
      </c>
      <c r="F64" s="24" t="inlineStr">
        <is>
          <t>13 generations of academic calendars and old PDFs online.</t>
        </is>
      </c>
      <c r="G64" s="24" t="inlineStr">
        <is>
          <t>calendars 2014/15→2026/27; Aptis guide PDF created 2017</t>
        </is>
      </c>
      <c r="H64" s="24" t="inlineStr">
        <is>
          <t>Archive.</t>
        </is>
      </c>
      <c r="I64" s="24" t="inlineStr">
        <is>
          <t>Registrar + Web</t>
        </is>
      </c>
      <c r="J64" s="24" t="inlineStr">
        <is>
          <t>Open – awaiting owner decision</t>
        </is>
      </c>
    </row>
    <row r="65">
      <c r="A65" s="21" t="n">
        <v>61</v>
      </c>
      <c r="B65" s="21" t="inlineStr">
        <is>
          <t>F-34</t>
        </is>
      </c>
      <c r="C65" s="21" t="inlineStr">
        <is>
          <t>P3</t>
        </is>
      </c>
      <c r="D65" s="22" t="inlineStr">
        <is>
          <t>registration_office</t>
        </is>
      </c>
      <c r="E65" s="22" t="inlineStr">
        <is>
          <t>Legacy/adjacent page (not linked from hub)</t>
        </is>
      </c>
      <c r="F65" s="22" t="inlineStr">
        <is>
          <t>Link to an internal host (http://web1:8066/...) on a public page.</t>
        </is>
      </c>
      <c r="G65" s="22" t="inlineStr">
        <is>
          <t>http://web1:8066/Online_Room_Reservation_Form.aspx</t>
        </is>
      </c>
      <c r="H65" s="22" t="inlineStr">
        <is>
          <t>Remove.</t>
        </is>
      </c>
      <c r="I65" s="22" t="inlineStr">
        <is>
          <t>IT</t>
        </is>
      </c>
      <c r="J65" s="22" t="inlineStr">
        <is>
          <t>Open – awaiting owner decision</t>
        </is>
      </c>
    </row>
  </sheetData>
  <autoFilter ref="A4:J65"/>
  <conditionalFormatting sqref="C5:C65">
    <cfRule type="expression" priority="1" dxfId="0">
      <formula>C5="P1"</formula>
    </cfRule>
    <cfRule type="expression" priority="2" dxfId="1">
      <formula>C5="P2"</formula>
    </cfRule>
    <cfRule type="expression" priority="3" dxfId="2">
      <formula>C5="P3"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>&amp;R&amp;8 Admission Pages Comments Register</oddHeader>
    <oddFooter>&amp;C&amp;8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32" customWidth="1" min="3" max="3"/>
    <col width="30" customWidth="1" min="4" max="4"/>
    <col width="9" customWidth="1" min="5" max="5"/>
  </cols>
  <sheetData>
    <row r="1" ht="26" customHeight="1">
      <c r="A1" s="17" t="inlineStr">
        <is>
          <t>Decisions required</t>
        </is>
      </c>
    </row>
    <row r="2">
      <c r="A2" s="18" t="inlineStr">
        <is>
          <t>Values pending these decisions should not be published as policy until confirmed in writing by the owner</t>
        </is>
      </c>
    </row>
    <row r="3">
      <c r="A3" s="19" t="n"/>
      <c r="B3" s="19" t="n"/>
      <c r="C3" s="19" t="n"/>
      <c r="D3" s="19" t="n"/>
      <c r="E3" s="19" t="n"/>
    </row>
    <row r="4" ht="30" customHeight="1">
      <c r="A4" s="20" t="inlineStr">
        <is>
          <t>ID</t>
        </is>
      </c>
      <c r="B4" s="20" t="inlineStr">
        <is>
          <t>Decision needed</t>
        </is>
      </c>
      <c r="C4" s="20" t="inlineStr">
        <is>
          <t>Owner (proposed)</t>
        </is>
      </c>
      <c r="D4" s="20" t="inlineStr">
        <is>
          <t>Linked refs</t>
        </is>
      </c>
      <c r="E4" s="20" t="inlineStr">
        <is>
          <t>Priority</t>
        </is>
      </c>
    </row>
    <row r="5">
      <c r="A5" s="21" t="inlineStr">
        <is>
          <t>D-01</t>
        </is>
      </c>
      <c r="B5" s="22" t="inlineStr">
        <is>
          <t>Next intake and one application route per applicant type (Saudi / non-Saudi / transfer / visiting / graduate); publish requirements on a visible page</t>
        </is>
      </c>
      <c r="C5" s="22" t="inlineStr">
        <is>
          <t>Admissions + Web + IT</t>
        </is>
      </c>
      <c r="D5" s="22" t="inlineStr">
        <is>
          <t>F-04, F-22, F-23, F-48, F-71</t>
        </is>
      </c>
      <c r="E5" s="21" t="inlineStr">
        <is>
          <t>P1</t>
        </is>
      </c>
    </row>
    <row r="6">
      <c r="A6" s="23" t="inlineStr">
        <is>
          <t>D-02</t>
        </is>
      </c>
      <c r="B6" s="24" t="inlineStr">
        <is>
          <t>Fee &amp; VAT matrix: international transfer/visitor (500 excl. vs 950 incl.), Medicine (1,000 vs 1,150), Aptis (575; requested 950)</t>
        </is>
      </c>
      <c r="C6" s="24" t="inlineStr">
        <is>
          <t>Finance + Admissions + PREP</t>
        </is>
      </c>
      <c r="D6" s="24" t="inlineStr">
        <is>
          <t>F-02, F-03, F-13</t>
        </is>
      </c>
      <c r="E6" s="23" t="inlineStr">
        <is>
          <t>P1</t>
        </is>
      </c>
    </row>
    <row r="7">
      <c r="A7" s="21" t="inlineStr">
        <is>
          <t>D-03</t>
        </is>
      </c>
      <c r="B7" s="22" t="inlineStr">
        <is>
          <t>Minimum weighted scores (74% requested vs published minima giving 73% / 72%) and whether to publish them</t>
        </is>
      </c>
      <c r="C7" s="22" t="inlineStr">
        <is>
          <t>Admissions policy owner</t>
        </is>
      </c>
      <c r="D7" s="22" t="inlineStr">
        <is>
          <t>F-07, F-71</t>
        </is>
      </c>
      <c r="E7" s="21" t="inlineStr">
        <is>
          <t>P1</t>
        </is>
      </c>
    </row>
    <row r="8">
      <c r="A8" s="23" t="inlineStr">
        <is>
          <t>D-04</t>
        </is>
      </c>
      <c r="B8" s="24" t="inlineStr">
        <is>
          <t>Criteria for international CS/Engineering applicants replacing SAT II; scope of SAT 1200 alternative; list of majors with higher requirements (incl. AI?)</t>
        </is>
      </c>
      <c r="C8" s="24" t="inlineStr">
        <is>
          <t>Admissions + Colleges</t>
        </is>
      </c>
      <c r="D8" s="24" t="inlineStr">
        <is>
          <t>F-01, F-35, F-76</t>
        </is>
      </c>
      <c r="E8" s="23" t="inlineStr">
        <is>
          <t>P1</t>
        </is>
      </c>
    </row>
    <row r="9">
      <c r="A9" s="21" t="inlineStr">
        <is>
          <t>D-05</t>
        </is>
      </c>
      <c r="B9" s="22" t="inlineStr">
        <is>
          <t>Graduate English requirements: MIBL 6.0 vs 6.5; EMGMS (remove other university text, IELTS 7/TOEFL 79/PBT); application route for EMGMS</t>
        </is>
      </c>
      <c r="C9" s="22" t="inlineStr">
        <is>
          <t>Graduate Studies + College of Engineering</t>
        </is>
      </c>
      <c r="D9" s="22" t="inlineStr">
        <is>
          <t>F-16, F-29, F-68, F-69, F-74</t>
        </is>
      </c>
      <c r="E9" s="21" t="inlineStr">
        <is>
          <t>P1</t>
        </is>
      </c>
    </row>
    <row r="10">
      <c r="A10" s="23" t="inlineStr">
        <is>
          <t>D-06</t>
        </is>
      </c>
      <c r="B10" s="24" t="inlineStr">
        <is>
          <t>TOEFL/IELTS equivalence table incl. the TOEFL 1–6 scale</t>
        </is>
      </c>
      <c r="C10" s="24" t="inlineStr">
        <is>
          <t>Admissions + Testing Center</t>
        </is>
      </c>
      <c r="D10" s="24" t="inlineStr">
        <is>
          <t>F-08, F-10, F-41</t>
        </is>
      </c>
      <c r="E10" s="23" t="inlineStr">
        <is>
          <t>P2</t>
        </is>
      </c>
    </row>
    <row r="11">
      <c r="A11" s="21" t="inlineStr">
        <is>
          <t>D-07</t>
        </is>
      </c>
      <c r="B11" s="22" t="inlineStr">
        <is>
          <t>Medicine selection formula and minimums; language requirement</t>
        </is>
      </c>
      <c r="C11" s="22" t="inlineStr">
        <is>
          <t>College of Medicine + Admissions</t>
        </is>
      </c>
      <c r="D11" s="22" t="inlineStr">
        <is>
          <t>F-06, F-40</t>
        </is>
      </c>
      <c r="E11" s="21" t="inlineStr">
        <is>
          <t>P2</t>
        </is>
      </c>
    </row>
    <row r="12">
      <c r="A12" s="23" t="inlineStr">
        <is>
          <t>D-08</t>
        </is>
      </c>
      <c r="B12" s="24" t="inlineStr">
        <is>
          <t>Graduate catalogue: offered programmes and canonical pages (MSHD/MSEHD, Innovation &amp; Sustainability programme)</t>
        </is>
      </c>
      <c r="C12" s="24" t="inlineStr">
        <is>
          <t>Graduate Studies + Academic Affairs</t>
        </is>
      </c>
      <c r="D12" s="24" t="inlineStr">
        <is>
          <t>F-11, F-25, F-32, F-75</t>
        </is>
      </c>
      <c r="E12" s="23" t="inlineStr">
        <is>
          <t>P2</t>
        </is>
      </c>
    </row>
    <row r="13">
      <c r="A13" s="21" t="inlineStr">
        <is>
          <t>D-09</t>
        </is>
      </c>
      <c r="B13" s="22" t="inlineStr">
        <is>
          <t>Admissions contact channel and privacy notice on query form / portal</t>
        </is>
      </c>
      <c r="C13" s="22" t="inlineStr">
        <is>
          <t>Admissions + Compliance</t>
        </is>
      </c>
      <c r="D13" s="22" t="inlineStr">
        <is>
          <t>F-45, F-65, F-77</t>
        </is>
      </c>
      <c r="E13" s="21" t="inlineStr">
        <is>
          <t>P2</t>
        </is>
      </c>
    </row>
    <row r="14">
      <c r="A14" s="23" t="inlineStr">
        <is>
          <t>D-10</t>
        </is>
      </c>
      <c r="B14" s="24" t="inlineStr">
        <is>
          <t>Retire/redirect legacy pages (freshman_admission, transfer-student-admission, ielts_course, old calendars/news)</t>
        </is>
      </c>
      <c r="C14" s="24" t="inlineStr">
        <is>
          <t>Admissions + Web</t>
        </is>
      </c>
      <c r="D14" s="24" t="inlineStr">
        <is>
          <t>F-05, F-09, F-15, F-17, F-33</t>
        </is>
      </c>
      <c r="E14" s="23" t="inlineStr">
        <is>
          <t>P2</t>
        </is>
      </c>
    </row>
  </sheetData>
  <autoFilter ref="A4:E14"/>
  <conditionalFormatting sqref="E5:E14">
    <cfRule type="expression" priority="1" dxfId="0">
      <formula>E5="P1"</formula>
    </cfRule>
    <cfRule type="expression" priority="2" dxfId="1">
      <formula>E5="P2"</formula>
    </cfRule>
    <cfRule type="expression" priority="3" dxfId="2">
      <formula>E5="P3"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>&amp;R&amp;8 Admission Pages Comments Register</oddHeader>
    <oddFooter>&amp;C&amp;8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32" customWidth="1" min="3" max="3"/>
  </cols>
  <sheetData>
    <row r="1" ht="26" customHeight="1">
      <c r="A1" s="17" t="inlineStr">
        <is>
          <t>Previous requests – live status</t>
        </is>
      </c>
    </row>
    <row r="2">
      <c r="A2" s="18" t="inlineStr">
        <is>
          <t>Amendments requested in the thread "comments on Admission pages", re-checked against the live site on 10 October 2026</t>
        </is>
      </c>
    </row>
    <row r="3">
      <c r="A3" s="19" t="n"/>
      <c r="B3" s="19" t="n"/>
      <c r="C3" s="19" t="n"/>
    </row>
    <row r="4" ht="30" customHeight="1">
      <c r="A4" s="20" t="inlineStr">
        <is>
          <t>Requested (Oct 2025 / Feb 2026 thread)</t>
        </is>
      </c>
      <c r="B4" s="20" t="inlineStr">
        <is>
          <t>Live today (10 Oct 2026)</t>
        </is>
      </c>
      <c r="C4" s="20" t="inlineStr">
        <is>
          <t>Status</t>
        </is>
      </c>
    </row>
    <row r="5">
      <c r="A5" s="22" t="inlineStr">
        <is>
          <t>B.S. Chemical Engineering added</t>
        </is>
      </c>
      <c r="B5" s="22" t="inlineStr">
        <is>
          <t>Listed on Degrees &amp; Programs</t>
        </is>
      </c>
      <c r="C5" s="25" t="inlineStr">
        <is>
          <t>Implemented</t>
        </is>
      </c>
    </row>
    <row r="6">
      <c r="A6" s="24" t="inlineStr">
        <is>
          <t>Minimum weighted score 74% (CS/Eng) / 72% (others)</t>
        </is>
      </c>
      <c r="B6" s="24" t="inlineStr">
        <is>
          <t>Not stated on visible pages; published minima on /apply compute to 73% / 72%</t>
        </is>
      </c>
      <c r="C6" s="26" t="inlineStr">
        <is>
          <t>Not implemented – decision needed</t>
        </is>
      </c>
    </row>
    <row r="7">
      <c r="A7" s="22" t="inlineStr">
        <is>
          <t>International / transfer / visitor fee to SAR 950</t>
        </is>
      </c>
      <c r="B7" s="22" t="inlineStr">
        <is>
          <t>International page still SAR 500 (excl. VAT); transfer &amp; visiting pages SAR 950 (incl. VAT)</t>
        </is>
      </c>
      <c r="C7" s="27" t="inlineStr">
        <is>
          <t>Partially – VAT wording to confirm</t>
        </is>
      </c>
    </row>
    <row r="8">
      <c r="A8" s="24" t="inlineStr">
        <is>
          <t>Remove SAT II (CS &amp; Engineering)</t>
        </is>
      </c>
      <c r="B8" s="24" t="inlineStr">
        <is>
          <t>International page still shows SAT II 30%</t>
        </is>
      </c>
      <c r="C8" s="26" t="inlineStr">
        <is>
          <t>Not implemented</t>
        </is>
      </c>
    </row>
    <row r="9">
      <c r="A9" s="22" t="inlineStr">
        <is>
          <t>Aptis re-test fee SAR 950</t>
        </is>
      </c>
      <c r="B9" s="22" t="inlineStr">
        <is>
          <t>Fees page SAR 575; Aptis page shows no fee</t>
        </is>
      </c>
      <c r="C9" s="28" t="inlineStr">
        <is>
          <t>Not implemented / amount to confirm</t>
        </is>
      </c>
    </row>
    <row r="10">
      <c r="A10" s="24" t="inlineStr">
        <is>
          <t>Retire old CS/Engineering page and Web Admission Guide</t>
        </is>
      </c>
      <c r="B10" s="24" t="inlineStr">
        <is>
          <t>CS/Engineering requirements page still live; guide not verifiable</t>
        </is>
      </c>
      <c r="C10" s="26" t="inlineStr">
        <is>
          <t>Not implemented / not verifiable</t>
        </is>
      </c>
    </row>
    <row r="11">
      <c r="A11" s="22" t="inlineStr">
        <is>
          <t>Graphic Design – female only</t>
        </is>
      </c>
      <c r="B11" s="22" t="inlineStr">
        <is>
          <t>Degrees &amp; Programs shows Male and Female</t>
        </is>
      </c>
      <c r="C11" s="28" t="inlineStr">
        <is>
          <t>Not implemented – confirm</t>
        </is>
      </c>
    </row>
    <row r="12">
      <c r="A12" s="24" t="inlineStr">
        <is>
          <t>Admission data-flow (Feb 2026 draft)</t>
        </is>
      </c>
      <c r="B12" s="24" t="inlineStr">
        <is>
          <t>Not published</t>
        </is>
      </c>
      <c r="C12" s="29" t="inlineStr">
        <is>
          <t>Draft – not verifiable</t>
        </is>
      </c>
    </row>
  </sheetData>
  <autoFilter ref="A4:C12"/>
  <printOptions horizontalCentered="1"/>
  <pageMargins left="0.4" right="0.4" top="0.5" bottom="0.5" header="0.5" footer="0.5"/>
  <pageSetup orientation="landscape" paperSize="9" fitToHeight="0" fitToWidth="1"/>
  <headerFooter>
    <oddHeader>&amp;R&amp;8 Admission Pages Comments Register</oddHeader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2026-10-10T10:21:48Z</dcterms:created>
  <dcterms:modified xmlns:dcterms="http://purl.org/dc/terms/" xmlns:xsi="http://www.w3.org/2001/XMLSchema-instance" xsi:type="dcterms:W3CDTF">2026-10-10T10:22:21Z</dcterms:modified>
</cp:coreProperties>
</file>